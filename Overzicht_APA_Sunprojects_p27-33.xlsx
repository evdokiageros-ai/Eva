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Machines (p27)" sheetId="2" state="visible" r:id="rId4"/>
    <sheet name="Kantoorinventaris (p29)" sheetId="3" state="visible" r:id="rId5"/>
    <sheet name="Automatisering (p31)" sheetId="4" state="visible" r:id="rId6"/>
    <sheet name="Auto's (p28)" sheetId="5" state="visible" r:id="rId7"/>
    <sheet name="Voorraad (p30)" sheetId="6" state="visible" r:id="rId8"/>
    <sheet name="Personeel (p32)" sheetId="7" state="visible" r:id="rId9"/>
    <sheet name="Contracten (p33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<sst xmlns="http://schemas.openxmlformats.org/spreadsheetml/2006/main" count="831" uniqueCount="615">
  <si>
    <t xml:space="preserve">Overzicht – APA Activa Sunprojects BV, pagina 27–33</t>
  </si>
  <si>
    <t xml:space="preserve">Alle bedragen in euro. Groene cijfers zijn koppelingen naar de detailtabbladen; blauw = overgenomen uit de PDF.</t>
  </si>
  <si>
    <t xml:space="preserve">1. Materiële vaste activa 2025</t>
  </si>
  <si>
    <t xml:space="preserve">Register</t>
  </si>
  <si>
    <t xml:space="preserve">Aanschafwaarde primo</t>
  </si>
  <si>
    <t xml:space="preserve">Boekwaarde primo</t>
  </si>
  <si>
    <t xml:space="preserve">Investering</t>
  </si>
  <si>
    <t xml:space="preserve">Afschrijving 2025</t>
  </si>
  <si>
    <t xml:space="preserve">Aanschafwaarde ultimo</t>
  </si>
  <si>
    <t xml:space="preserve">Boekwaarde ultimo</t>
  </si>
  <si>
    <t xml:space="preserve">Pagina</t>
  </si>
  <si>
    <t xml:space="preserve">Machines en installaties</t>
  </si>
  <si>
    <t xml:space="preserve">27</t>
  </si>
  <si>
    <t xml:space="preserve">Kantoorinventaris</t>
  </si>
  <si>
    <t xml:space="preserve">29</t>
  </si>
  <si>
    <t xml:space="preserve">Automatiseringsapparatuur</t>
  </si>
  <si>
    <t xml:space="preserve">31</t>
  </si>
  <si>
    <t xml:space="preserve">Totaal MVA</t>
  </si>
  <si>
    <t xml:space="preserve">Kantoorinventaris: aanschafwaarde ultimo is na desinvestering (verkoop aan illi Engineering, 20-08-2025).</t>
  </si>
  <si>
    <t xml:space="preserve">2. Voorraad per eind Q4-2025 (p30)</t>
  </si>
  <si>
    <t xml:space="preserve">Loods Den Helder</t>
  </si>
  <si>
    <t xml:space="preserve">Andere locaties (volgens PDF)</t>
  </si>
  <si>
    <t xml:space="preserve">Totaal voorraad</t>
  </si>
  <si>
    <t xml:space="preserve">Let op: het PDF-totaal voor andere locaties (€ 10.810,10) telt de container Eerbeek (€ 2.186,70) niet mee — zie tabblad Voorraad.</t>
  </si>
  <si>
    <t xml:space="preserve">3. Auto's (p28)</t>
  </si>
  <si>
    <t xml:space="preserve">Aantal leaseauto's</t>
  </si>
  <si>
    <t xml:space="preserve">Leasebedrag per maand (totaal)</t>
  </si>
  <si>
    <t xml:space="preserve">Afkoopindicatie per 31-12-2025 ex btw (totaal)</t>
  </si>
  <si>
    <t xml:space="preserve">Eigen auto Volvo XC90 (aankoopprijs 08-01-2023)</t>
  </si>
  <si>
    <t xml:space="preserve">4. Personeel – begroting 2026 (p32)</t>
  </si>
  <si>
    <t xml:space="preserve">Aantal werknemers</t>
  </si>
  <si>
    <t xml:space="preserve">Aantal FTE</t>
  </si>
  <si>
    <t xml:space="preserve">Totaal salaris en sociale lasten 2026</t>
  </si>
  <si>
    <t xml:space="preserve">Vorige begroting 2026 (november)</t>
  </si>
  <si>
    <t xml:space="preserve">Verschil t.o.v. vorige begroting</t>
  </si>
  <si>
    <t xml:space="preserve">5. Contracten en pipeline (p33, stand 14-4-2026)</t>
  </si>
  <si>
    <t xml:space="preserve">Contract value</t>
  </si>
  <si>
    <t xml:space="preserve">Margin</t>
  </si>
  <si>
    <t xml:space="preserve">Margin %</t>
  </si>
  <si>
    <t xml:space="preserve">Signed contracts (7)</t>
  </si>
  <si>
    <t xml:space="preserve">In negotiation</t>
  </si>
  <si>
    <t xml:space="preserve">Aantal pipelineprojecten</t>
  </si>
  <si>
    <t xml:space="preserve">Afschrijvingsstaat machines en installaties 2025 – Sunprojects BV</t>
  </si>
  <si>
    <t xml:space="preserve">Bron: APA Activa Sunprojects (getekend door beiden), pagina 27 — afschrijving 20% per jaar</t>
  </si>
  <si>
    <t xml:space="preserve">Omschrijving</t>
  </si>
  <si>
    <t xml:space="preserve">Aanschafdatum</t>
  </si>
  <si>
    <t xml:space="preserve">Aantal mnd afschr.</t>
  </si>
  <si>
    <t xml:space="preserve">Afschr. %</t>
  </si>
  <si>
    <t xml:space="preserve">Cum. afschr. primo</t>
  </si>
  <si>
    <t xml:space="preserve">Afschrijving W&amp;V 2025</t>
  </si>
  <si>
    <t xml:space="preserve">Cum. afschr. ultimo</t>
  </si>
  <si>
    <t xml:space="preserve">Restwaarde</t>
  </si>
  <si>
    <t xml:space="preserve">Locatie / bij wie</t>
  </si>
  <si>
    <t xml:space="preserve">Opmerking</t>
  </si>
  <si>
    <t xml:space="preserve">Thermografische warmtebeeld camera Nardo</t>
  </si>
  <si>
    <t xml:space="preserve">03-10-17</t>
  </si>
  <si>
    <t xml:space="preserve">Nardo</t>
  </si>
  <si>
    <t xml:space="preserve">TU / Betonboor Nardo</t>
  </si>
  <si>
    <t xml:space="preserve">04-12-17</t>
  </si>
  <si>
    <t xml:space="preserve">Industrie aanhanger enkele besturing</t>
  </si>
  <si>
    <t xml:space="preserve">31-05-18</t>
  </si>
  <si>
    <t xml:space="preserve">Mors Smitt / meetinstrument</t>
  </si>
  <si>
    <t xml:space="preserve">22-06-18</t>
  </si>
  <si>
    <t xml:space="preserve">Mors Smitt / Eazy PV tester</t>
  </si>
  <si>
    <t xml:space="preserve">23-07-18</t>
  </si>
  <si>
    <t xml:space="preserve">de Wildt / bouwcontainer (Roodehaan)</t>
  </si>
  <si>
    <t xml:space="preserve">14-12-18</t>
  </si>
  <si>
    <t xml:space="preserve">Roodehaan</t>
  </si>
  <si>
    <t xml:space="preserve">maXact / RTK GNSS Reveiver UNI-GR1</t>
  </si>
  <si>
    <t xml:space="preserve">08-08-19</t>
  </si>
  <si>
    <t xml:space="preserve">Omega / Fluke 6500-2 Starterskist (apparatentester)</t>
  </si>
  <si>
    <t xml:space="preserve">29-08-19</t>
  </si>
  <si>
    <t xml:space="preserve">Brinkbox / bouwcontainer (Wagenborgen)</t>
  </si>
  <si>
    <t xml:space="preserve">12-09-19</t>
  </si>
  <si>
    <t xml:space="preserve">Wagenborgen</t>
  </si>
  <si>
    <t xml:space="preserve">Brinkbox / zeecontainer ('t Oor Den Haag)</t>
  </si>
  <si>
    <t xml:space="preserve">14-01-20</t>
  </si>
  <si>
    <t xml:space="preserve">Oor</t>
  </si>
  <si>
    <t xml:space="preserve">Brinkbox / zeecontainer (Sunrock westfields)</t>
  </si>
  <si>
    <t xml:space="preserve">27-01-20</t>
  </si>
  <si>
    <t xml:space="preserve">Westfields</t>
  </si>
  <si>
    <t xml:space="preserve">Securo / Flir Vue pro warmte camera tbv Drone met Drone Expert Vue Pro</t>
  </si>
  <si>
    <t xml:space="preserve">07-07-20</t>
  </si>
  <si>
    <t xml:space="preserve">Nardo / Rob v. Mourik</t>
  </si>
  <si>
    <t xml:space="preserve">MarXact / Meetapparatuur</t>
  </si>
  <si>
    <t xml:space="preserve">10-06-20</t>
  </si>
  <si>
    <t xml:space="preserve">Securo / Drone Phantom 4 (ex demo gebruikt) incl remote controller (inruil stond nog onder inventaris)</t>
  </si>
  <si>
    <t xml:space="preserve">21-09-20</t>
  </si>
  <si>
    <t xml:space="preserve">Omega / Metrel Eurotest PV - pro set</t>
  </si>
  <si>
    <t xml:space="preserve">24-09-20</t>
  </si>
  <si>
    <t xml:space="preserve">maXact / RTK GNSS Reveiver UNI-GR1 + toebehoren W.vd Br…</t>
  </si>
  <si>
    <t xml:space="preserve">26-11-20</t>
  </si>
  <si>
    <t xml:space="preserve">Motorland/grasmaaier Rogier Bakker (Asset management)</t>
  </si>
  <si>
    <t xml:space="preserve">03-02-21</t>
  </si>
  <si>
    <t xml:space="preserve">Rogier Bakker</t>
  </si>
  <si>
    <t xml:space="preserve">MKT / Elektro Lijn I-V500W tbv asset management</t>
  </si>
  <si>
    <t xml:space="preserve">30-03-21</t>
  </si>
  <si>
    <t xml:space="preserve">Gjaltema / opslagcontainer Eerbeek (ook Elzenbos/A15/Ketelstee…)</t>
  </si>
  <si>
    <t xml:space="preserve">29-04-21</t>
  </si>
  <si>
    <t xml:space="preserve">Eerbeek</t>
  </si>
  <si>
    <t xml:space="preserve">Enlaps/Tikee 3 incl Hard case + toebehoren</t>
  </si>
  <si>
    <t xml:space="preserve">Nick van Druten</t>
  </si>
  <si>
    <t xml:space="preserve">MKT / Eletro Lijn PV-Isotest</t>
  </si>
  <si>
    <t xml:space="preserve">05-05-21</t>
  </si>
  <si>
    <t xml:space="preserve">Miktia / hybride boor / schroefmachine</t>
  </si>
  <si>
    <t xml:space="preserve">09-11-21</t>
  </si>
  <si>
    <t xml:space="preserve">EazyPV, Zonnepaneelinstrallatie tester</t>
  </si>
  <si>
    <t xml:space="preserve">10-03-22</t>
  </si>
  <si>
    <t xml:space="preserve">DJI Mini 2 Fly More Combo (Drone)</t>
  </si>
  <si>
    <t xml:space="preserve">06-07-22</t>
  </si>
  <si>
    <t xml:space="preserve">One Pro iOS warmtebeeld camera</t>
  </si>
  <si>
    <t xml:space="preserve">27-10-22</t>
  </si>
  <si>
    <t xml:space="preserve">Datum in PDF afgekapt: '27-10-202'</t>
  </si>
  <si>
    <t xml:space="preserve">Nieaf-Smitt EazyPV Curve Solar</t>
  </si>
  <si>
    <t xml:space="preserve">01-11-22</t>
  </si>
  <si>
    <t xml:space="preserve">Enlaps - Time laps Camera Tikee 3 Pack</t>
  </si>
  <si>
    <t xml:space="preserve">22-02-23</t>
  </si>
  <si>
    <t xml:space="preserve">CARU containers / 20ft stand container (Valgenweg)</t>
  </si>
  <si>
    <t xml:space="preserve">26-09-23</t>
  </si>
  <si>
    <t xml:space="preserve">Valgenweg</t>
  </si>
  <si>
    <t xml:space="preserve">CARU containers / 20ft stand container (Roodehaan 2A)</t>
  </si>
  <si>
    <t xml:space="preserve">27-12-23</t>
  </si>
  <si>
    <t xml:space="preserve">Groningen / Roodehaan 2A</t>
  </si>
  <si>
    <t xml:space="preserve">Isero BV; 1x telescoopladder 4.1m met 80mm treden voor Tijme…</t>
  </si>
  <si>
    <t xml:space="preserve">16-04-24</t>
  </si>
  <si>
    <t xml:space="preserve">Tijmen Bolmeijer</t>
  </si>
  <si>
    <t xml:space="preserve">BrinkBox B.V.; 20FT Zeecontainer nieuw, stelling, verlichting o…</t>
  </si>
  <si>
    <t xml:space="preserve">30-04-24</t>
  </si>
  <si>
    <t xml:space="preserve">Locatie Vattenfall Echteld</t>
  </si>
  <si>
    <t xml:space="preserve">Totaal</t>
  </si>
  <si>
    <t xml:space="preserve">Totaal volgens PDF</t>
  </si>
  <si>
    <t xml:space="preserve">Verschil (berekend – PDF)</t>
  </si>
  <si>
    <t xml:space="preserve">Opmerking PDF: 'Deze MVA worden bij een activatransactie verkocht tegen verkoopprijs = marktwaarde'. Locatie = jaarlijkse check (na check 23-10-2023). Grootboek: #4113 afschrijving, #0230/#0231 aanschaf/cum. afschr.</t>
  </si>
  <si>
    <t xml:space="preserve">Blauw = overgenomen uit PDF; zwart = formule (ultimo = primo + investering / afschrijving).</t>
  </si>
  <si>
    <t xml:space="preserve">Afschrijvingsstaat kantoorinventaris 2025 – Sunprojects BV</t>
  </si>
  <si>
    <t xml:space="preserve">Bron: APA Activa Sunprojects (getekend door beiden), pagina 29 — afschrijving 20% per jaar</t>
  </si>
  <si>
    <t xml:space="preserve">Desinvest. aanschafwaarde</t>
  </si>
  <si>
    <t xml:space="preserve">Desinvest. cum. afschr.</t>
  </si>
  <si>
    <t xml:space="preserve">Locatie / opmerking</t>
  </si>
  <si>
    <t xml:space="preserve">Overname inventaris SP NV (bureau's, meetapparatuur e.d.)</t>
  </si>
  <si>
    <t xml:space="preserve">31-12-15</t>
  </si>
  <si>
    <t xml:space="preserve">Ikea/eettafels/roltafel//tafel/troley</t>
  </si>
  <si>
    <t xml:space="preserve">18-09-17</t>
  </si>
  <si>
    <t xml:space="preserve">6 kantoorstoelen</t>
  </si>
  <si>
    <t xml:space="preserve">TV scherm Philips (vergaderzaal)</t>
  </si>
  <si>
    <t xml:space="preserve">05-12-17</t>
  </si>
  <si>
    <t xml:space="preserve">IKEA / Archiefkast Galant 160x120</t>
  </si>
  <si>
    <t xml:space="preserve">06-01-18</t>
  </si>
  <si>
    <t xml:space="preserve">Aspa Yspo buro/bureaustoel Interstuhl Masja</t>
  </si>
  <si>
    <t xml:space="preserve">20-05-19</t>
  </si>
  <si>
    <t xml:space="preserve">Ahrend bureau &amp; 3 bureaustoelen</t>
  </si>
  <si>
    <t xml:space="preserve">18-10-19</t>
  </si>
  <si>
    <t xml:space="preserve">MobileIron / Bureaumeubels 2e hands niew kantoor</t>
  </si>
  <si>
    <t xml:space="preserve">25-05-20</t>
  </si>
  <si>
    <t xml:space="preserve">Mekelenkamp / plantenbakken en planten kantoor</t>
  </si>
  <si>
    <t xml:space="preserve">17-06-20</t>
  </si>
  <si>
    <t xml:space="preserve">Eiken vergadertafel Eliza (Design kantoormeub)</t>
  </si>
  <si>
    <t xml:space="preserve">22-06-20</t>
  </si>
  <si>
    <t xml:space="preserve">5x Wandsigning type 1 (wandfoto's / wandbekleding)</t>
  </si>
  <si>
    <t xml:space="preserve">19-08-20</t>
  </si>
  <si>
    <t xml:space="preserve">3x KMA Slinger bureautafels 160x80 cm</t>
  </si>
  <si>
    <t xml:space="preserve">07-10-20</t>
  </si>
  <si>
    <t xml:space="preserve">Brains+Bricks / kantoorinrichting wandfoto's ed</t>
  </si>
  <si>
    <t xml:space="preserve">22-03-21</t>
  </si>
  <si>
    <t xml:space="preserve">Brains+Bricks / Akoestische wandpanelen</t>
  </si>
  <si>
    <t xml:space="preserve">24-01-22</t>
  </si>
  <si>
    <t xml:space="preserve">Officecity Kantoormeubelen, Roldeurkast + draaideurkast</t>
  </si>
  <si>
    <t xml:space="preserve">25-02-22</t>
  </si>
  <si>
    <t xml:space="preserve">Officecity Kantoormeubelen, 2x bureau Maroon</t>
  </si>
  <si>
    <t xml:space="preserve">01-04-22</t>
  </si>
  <si>
    <t xml:space="preserve">Wilbert bureaustoel</t>
  </si>
  <si>
    <t xml:space="preserve">02-11-22</t>
  </si>
  <si>
    <t xml:space="preserve">Desinvestering: boekwaarde € 200, verkoopprijs € 2.500, boekwinst € 2.300 (#4195). Op 20-08-2025 verkocht aan illi Engineering voor € 2.500 (grootste deel = niet gekleurd). De resterende MVA gaan mee met een activatransactie.</t>
  </si>
  <si>
    <t xml:space="preserve">Afschrijving per kwartaal: te verwerken t/m Q4 € 1.773; verwerkt Q1 € 471,50, Q2 € 471,50, Q3 € 472,00; afschrijving slotkwartaal € 358,00.</t>
  </si>
  <si>
    <t xml:space="preserve">Afschrijvingsstaat automatiseringsapparatuur 2025 – Sunprojects BV</t>
  </si>
  <si>
    <t xml:space="preserve">Bron: APA Activa Sunprojects (getekend door beiden), pagina 31 — afschrijving 20% per jaar</t>
  </si>
  <si>
    <t xml:space="preserve">Asus Vivobook laptop voor Nardo</t>
  </si>
  <si>
    <t xml:space="preserve">10-07-17</t>
  </si>
  <si>
    <t xml:space="preserve">Nardo Sewalt</t>
  </si>
  <si>
    <t xml:space="preserve">Alternate / PC en toebehoren Daniel</t>
  </si>
  <si>
    <t xml:space="preserve">12-01-18</t>
  </si>
  <si>
    <t xml:space="preserve">Daniel Leite</t>
  </si>
  <si>
    <t xml:space="preserve">Acer Aspire 5 laptop voor HL (na crash)</t>
  </si>
  <si>
    <t xml:space="preserve">08-02-18</t>
  </si>
  <si>
    <t xml:space="preserve">Hans</t>
  </si>
  <si>
    <t xml:space="preserve">Alternate / PC en toebehoren Rogier</t>
  </si>
  <si>
    <t xml:space="preserve">04-12-18</t>
  </si>
  <si>
    <t xml:space="preserve">Gen25 / Salesforce CRM inrichten</t>
  </si>
  <si>
    <t xml:space="preserve">18-09-19</t>
  </si>
  <si>
    <t xml:space="preserve">Diverse licenties sales, engineering en inkoop</t>
  </si>
  <si>
    <t xml:space="preserve">Coolblue / Lenovo Thinkpad P73 (Bas)</t>
  </si>
  <si>
    <t xml:space="preserve">13-02-20</t>
  </si>
  <si>
    <t xml:space="preserve">Bas Bouwman</t>
  </si>
  <si>
    <t xml:space="preserve">slot</t>
  </si>
  <si>
    <t xml:space="preserve">Coolblue / Phillips 65PUS6504 (vergaderruimte)</t>
  </si>
  <si>
    <t xml:space="preserve">02-06-20</t>
  </si>
  <si>
    <t xml:space="preserve">In gebruik</t>
  </si>
  <si>
    <t xml:space="preserve">Coolblue / HP Pavilion 15 15-cs3974nd</t>
  </si>
  <si>
    <t xml:space="preserve">03-06-20</t>
  </si>
  <si>
    <t xml:space="preserve">Voorheen Tomàs Tigchelaar / op voorraad voor hergebruik</t>
  </si>
  <si>
    <t xml:space="preserve">Coolblue / HP Pavilion 14-dw0975nd</t>
  </si>
  <si>
    <t xml:space="preserve">17-08-20</t>
  </si>
  <si>
    <t xml:space="preserve">Timon Berends</t>
  </si>
  <si>
    <t xml:space="preserve">Coolblue / Apple iPhone SE 256GB wit</t>
  </si>
  <si>
    <t xml:space="preserve">18-08-20</t>
  </si>
  <si>
    <t xml:space="preserve">Voorraad</t>
  </si>
  <si>
    <t xml:space="preserve">Coolblue / HP Pavilion 14-fq0977nd</t>
  </si>
  <si>
    <t xml:space="preserve">02-09-20</t>
  </si>
  <si>
    <t xml:space="preserve">Bol.com, HP Pavilion 15.6 inch laptop (Raymond)</t>
  </si>
  <si>
    <t xml:space="preserve">28-09-20</t>
  </si>
  <si>
    <t xml:space="preserve">Raymond vd Velde</t>
  </si>
  <si>
    <t xml:space="preserve">Coolblue B.V.; 1 HP 15s-fq1967nd laptop</t>
  </si>
  <si>
    <t xml:space="preserve">05-11-20</t>
  </si>
  <si>
    <t xml:space="preserve">Op voorraad voor hergebruik</t>
  </si>
  <si>
    <t xml:space="preserve">Coolblue / HP Pavilion (Fabiene)</t>
  </si>
  <si>
    <t xml:space="preserve">31-03-21</t>
  </si>
  <si>
    <t xml:space="preserve">Priscilla van Assen</t>
  </si>
  <si>
    <t xml:space="preserve">Apple iPhone 12 mini 128GB Zwart</t>
  </si>
  <si>
    <t xml:space="preserve">19-08-21</t>
  </si>
  <si>
    <t xml:space="preserve">Hans Lambrechts</t>
  </si>
  <si>
    <t xml:space="preserve">Apple iPhone 12 mini 128GB Blauw</t>
  </si>
  <si>
    <t xml:space="preserve">20-08-21</t>
  </si>
  <si>
    <t xml:space="preserve">Assets</t>
  </si>
  <si>
    <t xml:space="preserve">PlatteTV / Philips 65PUS7805 (Assets)</t>
  </si>
  <si>
    <t xml:space="preserve">22-09-21</t>
  </si>
  <si>
    <t xml:space="preserve">Nieuwe vergader ruimte assets</t>
  </si>
  <si>
    <t xml:space="preserve">Amazon / 5x Philips 23,8 inch monitoren</t>
  </si>
  <si>
    <t xml:space="preserve">5x monitor diversen</t>
  </si>
  <si>
    <t xml:space="preserve">Lenovo Thinkbook 15</t>
  </si>
  <si>
    <t xml:space="preserve">02-02-22</t>
  </si>
  <si>
    <t xml:space="preserve">Voorheen Adrie Korf / op voorraad voor hergebruik</t>
  </si>
  <si>
    <t xml:space="preserve">Brics CAD V22 Pro - Single lifetime licentie</t>
  </si>
  <si>
    <t xml:space="preserve">08-03-22</t>
  </si>
  <si>
    <t xml:space="preserve">CAD software voor Xander</t>
  </si>
  <si>
    <t xml:space="preserve">1 – wordt jaarlijks geupgrade naar nieuwe versie</t>
  </si>
  <si>
    <t xml:space="preserve">Brics CAD V22 Pro - 2 lifetime licenties</t>
  </si>
  <si>
    <t xml:space="preserve">14-04-22</t>
  </si>
  <si>
    <t xml:space="preserve">CAD software voor Adrie &amp; …</t>
  </si>
  <si>
    <t xml:space="preserve">2 – wordt jaarlijks geupgrade naar nieuwe versie</t>
  </si>
  <si>
    <t xml:space="preserve">02-05-22</t>
  </si>
  <si>
    <t xml:space="preserve">CAD software voor Berend …</t>
  </si>
  <si>
    <t xml:space="preserve">18-05-22</t>
  </si>
  <si>
    <t xml:space="preserve">CAD software voor Paul …</t>
  </si>
  <si>
    <t xml:space="preserve">05-07-22</t>
  </si>
  <si>
    <t xml:space="preserve">CAD software voor Martijn V…</t>
  </si>
  <si>
    <t xml:space="preserve">BricsCAD Pro V23 | Perpetual (lifetime) 4x licenties</t>
  </si>
  <si>
    <t xml:space="preserve">08-12-22</t>
  </si>
  <si>
    <t xml:space="preserve">CAD software Ana / Daniel / 2 vacant</t>
  </si>
  <si>
    <t xml:space="preserve">Asus Vivobook 17 X712EA-AU598W</t>
  </si>
  <si>
    <t xml:space="preserve">27-02-23</t>
  </si>
  <si>
    <t xml:space="preserve">Martijn van Wijk</t>
  </si>
  <si>
    <t xml:space="preserve">4x Extreme AP305C-1 + Router ed voor Wifi kantoor</t>
  </si>
  <si>
    <t xml:space="preserve">14-04-23</t>
  </si>
  <si>
    <t xml:space="preserve">Algemeen/kantoor Uilenstede</t>
  </si>
  <si>
    <t xml:space="preserve">Coolblue B.V.; tbv Assets (cf opgave Priscilla): Apple iPad (2022) 10.9 inch 64GB Wifi + 5G Zilver</t>
  </si>
  <si>
    <t xml:space="preserve">11-03-24</t>
  </si>
  <si>
    <t xml:space="preserve">tbv Assets</t>
  </si>
  <si>
    <t xml:space="preserve">Boekwaarde primo in PDF = aanschafwaarde (590), niet 590 – 98</t>
  </si>
  <si>
    <t xml:space="preserve">Intigris B.V., salesforce Field Service Implementation jan en feb 2024 -/- reeds gefactureerd</t>
  </si>
  <si>
    <t xml:space="preserve">15-03-24</t>
  </si>
  <si>
    <t xml:space="preserve">Kantoor</t>
  </si>
  <si>
    <t xml:space="preserve">Boekwaarde primo in PDF = aanschafwaarde (8.850), niet 8.850 – 1.475</t>
  </si>
  <si>
    <t xml:space="preserve">BlueAi B.V. / 1x BricsCAD Pro V24, Single, Perpetual, incl. 1 year autorenew maintenance t/m 11-12-2024</t>
  </si>
  <si>
    <t xml:space="preserve">05-04-24</t>
  </si>
  <si>
    <t xml:space="preserve">Simi Olatona</t>
  </si>
  <si>
    <t xml:space="preserve">Boekwaarde primo in PDF = aanschafwaarde (1.498), niet 1.498 – 225</t>
  </si>
  <si>
    <t xml:space="preserve">Apple iPhone 13 512 GB zwart Timon Berend</t>
  </si>
  <si>
    <t xml:space="preserve">31-08-25</t>
  </si>
  <si>
    <t xml:space="preserve">Investering 2025</t>
  </si>
  <si>
    <t xml:space="preserve">'slot' = laatste afschrijving. Locatie = jaarlijkse check of dit nog aanwezig is en bij wie (laatste update 23-10-2023). Grootboek: #4114, #0245, #0246.</t>
  </si>
  <si>
    <t xml:space="preserve">Leaseauto's en eigen auto</t>
  </si>
  <si>
    <t xml:space="preserve">Bron: APA Activa Sunprojects (getekend door beiden), pagina 28</t>
  </si>
  <si>
    <t xml:space="preserve">Afkoopindicatie per 31-12-2025 ex btw</t>
  </si>
  <si>
    <t xml:space="preserve">Brandstof</t>
  </si>
  <si>
    <t xml:space="preserve">Kenteken</t>
  </si>
  <si>
    <t xml:space="preserve">Merk en type</t>
  </si>
  <si>
    <t xml:space="preserve">Naam berijder</t>
  </si>
  <si>
    <t xml:space="preserve">Ingang contract</t>
  </si>
  <si>
    <t xml:space="preserve">Einddatum contract</t>
  </si>
  <si>
    <t xml:space="preserve">Leasebedrag p/m</t>
  </si>
  <si>
    <t xml:space="preserve">Hybride</t>
  </si>
  <si>
    <t xml:space="preserve">GLV-22-F</t>
  </si>
  <si>
    <t xml:space="preserve">Jeep Comp.1.3PHEV 190 Altitude Aut</t>
  </si>
  <si>
    <t xml:space="preserve">3-8-2024</t>
  </si>
  <si>
    <t xml:space="preserve">3-8-2029</t>
  </si>
  <si>
    <t xml:space="preserve">Benzine</t>
  </si>
  <si>
    <t xml:space="preserve">Volkswagen Polo 1.0 TSI 70kW Life Edition 5d</t>
  </si>
  <si>
    <t xml:space="preserve">Poolauto</t>
  </si>
  <si>
    <t xml:space="preserve">17-1-2025</t>
  </si>
  <si>
    <t xml:space="preserve">16-1-2030</t>
  </si>
  <si>
    <t xml:space="preserve">GRG-80-B</t>
  </si>
  <si>
    <t xml:space="preserve">R. Boerlage</t>
  </si>
  <si>
    <t xml:space="preserve">7-10-2024</t>
  </si>
  <si>
    <t xml:space="preserve">7-10-2029</t>
  </si>
  <si>
    <t xml:space="preserve">GHV-13-G</t>
  </si>
  <si>
    <t xml:space="preserve">Kia ProCeed 1.5 T-GDi DCT7 GT-PlusLine</t>
  </si>
  <si>
    <t xml:space="preserve">E.J. Eweg</t>
  </si>
  <si>
    <t xml:space="preserve">14-8-2024</t>
  </si>
  <si>
    <t xml:space="preserve">13-8-2028</t>
  </si>
  <si>
    <t xml:space="preserve">Z-919-PZ</t>
  </si>
  <si>
    <t xml:space="preserve">Skoda Kodiaq TSI 110 First Ed. Aut</t>
  </si>
  <si>
    <t xml:space="preserve">7-5-2024</t>
  </si>
  <si>
    <t xml:space="preserve">7-5-2029</t>
  </si>
  <si>
    <t xml:space="preserve">ja</t>
  </si>
  <si>
    <t xml:space="preserve">Totaal leaseauto's</t>
  </si>
  <si>
    <t xml:space="preserve">Eigen auto</t>
  </si>
  <si>
    <t xml:space="preserve">Aankoopprijs</t>
  </si>
  <si>
    <t xml:space="preserve">Aankoopdatum</t>
  </si>
  <si>
    <t xml:space="preserve">R-975-SB</t>
  </si>
  <si>
    <t xml:space="preserve">Volvo XC90</t>
  </si>
  <si>
    <t xml:space="preserve">Raymond van der Velde</t>
  </si>
  <si>
    <t xml:space="preserve">08-01-2023</t>
  </si>
  <si>
    <t xml:space="preserve">Voorraad Sunprojects en overgebleven bij voorgaande projecten</t>
  </si>
  <si>
    <t xml:space="preserve">Bron: APA Activa Sunprojects (getekend door beiden), pagina 30 — laatste wijziging december 2025</t>
  </si>
  <si>
    <t xml:space="preserve">Categorie</t>
  </si>
  <si>
    <t xml:space="preserve">Merk / artikel</t>
  </si>
  <si>
    <t xml:space="preserve">Aantal</t>
  </si>
  <si>
    <t xml:space="preserve">Overgebleven bij</t>
  </si>
  <si>
    <t xml:space="preserve">Waarde per mt/stuk</t>
  </si>
  <si>
    <t xml:space="preserve">Totaal waarde</t>
  </si>
  <si>
    <t xml:space="preserve">Markering</t>
  </si>
  <si>
    <t xml:space="preserve">Goten</t>
  </si>
  <si>
    <t xml:space="preserve">Trayco</t>
  </si>
  <si>
    <t xml:space="preserve">Draadgoot voetjes beton</t>
  </si>
  <si>
    <t xml:space="preserve">Kabel/stekker/mantelbuis</t>
  </si>
  <si>
    <t xml:space="preserve">koper DC</t>
  </si>
  <si>
    <t xml:space="preserve">rol 1000m dc kabel 4mm2 blauw</t>
  </si>
  <si>
    <t xml:space="preserve">2 rollen</t>
  </si>
  <si>
    <t xml:space="preserve">x</t>
  </si>
  <si>
    <t xml:space="preserve">Omvormers</t>
  </si>
  <si>
    <t xml:space="preserve">APMT-SC-750</t>
  </si>
  <si>
    <t xml:space="preserve">A4 FASE 2 Haarlemmermeer</t>
  </si>
  <si>
    <t xml:space="preserve">foto</t>
  </si>
  <si>
    <t xml:space="preserve">Panelen</t>
  </si>
  <si>
    <t xml:space="preserve">Akcome</t>
  </si>
  <si>
    <t xml:space="preserve">Akcome SK8612M(HV)C-450 [1038mm x 2094mm] zwarte rand</t>
  </si>
  <si>
    <t xml:space="preserve">retour 445 Van Mossel</t>
  </si>
  <si>
    <t xml:space="preserve">prijs aangepast obv prijs / inkoopfactuur check eind 2023</t>
  </si>
  <si>
    <t xml:space="preserve">Akcome SK8612M(HV)C-455 [1038mm x 2094mm] zwarte rand</t>
  </si>
  <si>
    <t xml:space="preserve">Akcome 545Wp</t>
  </si>
  <si>
    <t xml:space="preserve">retour project?</t>
  </si>
  <si>
    <t xml:space="preserve">Canadian Solar</t>
  </si>
  <si>
    <t xml:space="preserve">canadian solar 270Wp glas</t>
  </si>
  <si>
    <t xml:space="preserve">akzo nobel</t>
  </si>
  <si>
    <t xml:space="preserve">prijs aangepast obv prijs / inkoopfactuur check eind 2021</t>
  </si>
  <si>
    <t xml:space="preserve">canadian solar 415 wp</t>
  </si>
  <si>
    <t xml:space="preserve">retour van Ikea Haarlem fase 2</t>
  </si>
  <si>
    <t xml:space="preserve">Canadian Solar 595 wp zilver rand</t>
  </si>
  <si>
    <t xml:space="preserve">retour van 428 CTP Ridderkerk?</t>
  </si>
  <si>
    <t xml:space="preserve">Canadian Solar CS6W-550</t>
  </si>
  <si>
    <t xml:space="preserve">Natec panelen over van Dalfsen veld</t>
  </si>
  <si>
    <t xml:space="preserve">Q1-2024 in loods gezet van #394 = aanpassing op project</t>
  </si>
  <si>
    <t xml:space="preserve">Jinko</t>
  </si>
  <si>
    <t xml:space="preserve">Jinko 390 zilver</t>
  </si>
  <si>
    <t xml:space="preserve">1 volle pallet</t>
  </si>
  <si>
    <t xml:space="preserve">Jinko 550</t>
  </si>
  <si>
    <t xml:space="preserve">retour van 401 HHSK Groenendijk</t>
  </si>
  <si>
    <t xml:space="preserve">Jinko 570Wp</t>
  </si>
  <si>
    <t xml:space="preserve">retour Theathergarage Nieuwegein</t>
  </si>
  <si>
    <t xml:space="preserve">Jinko 460Wp</t>
  </si>
  <si>
    <t xml:space="preserve">Kioto Solar</t>
  </si>
  <si>
    <t xml:space="preserve">Kioto Solar Sonnenkraft 380Wp</t>
  </si>
  <si>
    <t xml:space="preserve">retour van Ikea Delft</t>
  </si>
  <si>
    <t xml:space="preserve">Longi</t>
  </si>
  <si>
    <t xml:space="preserve">longi 380w zilver</t>
  </si>
  <si>
    <t xml:space="preserve">longi 390w zilver</t>
  </si>
  <si>
    <t xml:space="preserve">longi 450 w zilver</t>
  </si>
  <si>
    <t xml:space="preserve">Miasole</t>
  </si>
  <si>
    <t xml:space="preserve">mia sole 120w glaspaneel</t>
  </si>
  <si>
    <t xml:space="preserve">zie in pagina 2 / was dubbel</t>
  </si>
  <si>
    <t xml:space="preserve">LR5-72HTH-575</t>
  </si>
  <si>
    <t xml:space="preserve">Solarwatt</t>
  </si>
  <si>
    <t xml:space="preserve">Solarwatt Classics 375 WP</t>
  </si>
  <si>
    <t xml:space="preserve">Solarwatt / over van #402 GD Group</t>
  </si>
  <si>
    <t xml:space="preserve">Q1-2024 in loods gezet van #402</t>
  </si>
  <si>
    <t xml:space="preserve">Sunport</t>
  </si>
  <si>
    <t xml:space="preserve">Sunport S-FLEX 6 II [1840 mm x 1040 mm]</t>
  </si>
  <si>
    <t xml:space="preserve">retour van 377 Giant</t>
  </si>
  <si>
    <t xml:space="preserve">Sunpower</t>
  </si>
  <si>
    <t xml:space="preserve">sunpower 335w fullblack</t>
  </si>
  <si>
    <t xml:space="preserve">houthavens</t>
  </si>
  <si>
    <t xml:space="preserve">Talesun</t>
  </si>
  <si>
    <t xml:space="preserve">talesun 265w zilver</t>
  </si>
  <si>
    <t xml:space="preserve">ikea</t>
  </si>
  <si>
    <t xml:space="preserve">talesun 270w zilver</t>
  </si>
  <si>
    <t xml:space="preserve">Trina solar</t>
  </si>
  <si>
    <t xml:space="preserve">trina 345w zilver</t>
  </si>
  <si>
    <t xml:space="preserve">schipholtradepark</t>
  </si>
  <si>
    <t xml:space="preserve">trina 305 zwart</t>
  </si>
  <si>
    <t xml:space="preserve">trina 270 zilver</t>
  </si>
  <si>
    <t xml:space="preserve">IKEA duiven</t>
  </si>
  <si>
    <t xml:space="preserve">Trina 375 zilver</t>
  </si>
  <si>
    <t xml:space="preserve">12 gereserveerd voor Bas</t>
  </si>
  <si>
    <t xml:space="preserve">Trina TSM 450 w zilver</t>
  </si>
  <si>
    <t xml:space="preserve">van Bauhaus</t>
  </si>
  <si>
    <t xml:space="preserve">Trina</t>
  </si>
  <si>
    <t xml:space="preserve">Trina TSM 450Wp</t>
  </si>
  <si>
    <t xml:space="preserve">reserve (aangekocht door Hans)</t>
  </si>
  <si>
    <t xml:space="preserve">Trina Solar TallmaxM TSM-DE17M(II) 450Wp</t>
  </si>
  <si>
    <t xml:space="preserve">van 294 Columbusstraat 12</t>
  </si>
  <si>
    <t xml:space="preserve">Trina 310Wp zilver</t>
  </si>
  <si>
    <t xml:space="preserve">1 volle pallet nog ingepakt, 15 losse panelen</t>
  </si>
  <si>
    <t xml:space="preserve">TW Solar</t>
  </si>
  <si>
    <t xml:space="preserve">Tongwei Solar 505Wp</t>
  </si>
  <si>
    <t xml:space="preserve">1147 panelen</t>
  </si>
  <si>
    <t xml:space="preserve">Diversen</t>
  </si>
  <si>
    <t xml:space="preserve">UPS Sentiel</t>
  </si>
  <si>
    <t xml:space="preserve">tbv roode haan spare</t>
  </si>
  <si>
    <t xml:space="preserve">ABB schakelaars</t>
  </si>
  <si>
    <t xml:space="preserve">Ventilatoren</t>
  </si>
  <si>
    <t xml:space="preserve">SolarEdge</t>
  </si>
  <si>
    <t xml:space="preserve">Power Optimizer P1100</t>
  </si>
  <si>
    <t xml:space="preserve">Natec / over van #402 GD Group</t>
  </si>
  <si>
    <t xml:space="preserve">Totaal loods Den Helder</t>
  </si>
  <si>
    <t xml:space="preserve">PDF: € 98.667,84</t>
  </si>
  <si>
    <t xml:space="preserve">Opgeslagen op klanten projectlocaties</t>
  </si>
  <si>
    <t xml:space="preserve">Locatie</t>
  </si>
  <si>
    <t xml:space="preserve">Artikel</t>
  </si>
  <si>
    <t xml:space="preserve">Overgebleven bij / basis</t>
  </si>
  <si>
    <t xml:space="preserve">Waarde per stuk</t>
  </si>
  <si>
    <t xml:space="preserve">Opmerkingen BJV na beoordeling juistheid waardering</t>
  </si>
  <si>
    <t xml:space="preserve">Container Eerbeek</t>
  </si>
  <si>
    <t xml:space="preserve">jinko tiger</t>
  </si>
  <si>
    <t xml:space="preserve">jkm395m-6rl3</t>
  </si>
  <si>
    <t xml:space="preserve">opslag op eerbeek</t>
  </si>
  <si>
    <t xml:space="preserve">cfm PVO factuur 10/3/2021 voor project Elzenbos (wel 390 Wp)</t>
  </si>
  <si>
    <t xml:space="preserve">trina tallmax</t>
  </si>
  <si>
    <t xml:space="preserve">de17mii 450</t>
  </si>
  <si>
    <t xml:space="preserve">cfm PVO factuur 12/5/2021 voor project A15 Geldermalsen</t>
  </si>
  <si>
    <t xml:space="preserve">jinko cheetah</t>
  </si>
  <si>
    <t xml:space="preserve">jkm390m-72-v</t>
  </si>
  <si>
    <t xml:space="preserve">cfm PVO factuur 13/11/2020 voor project Eerbeek</t>
  </si>
  <si>
    <t xml:space="preserve">Container Roodehaan (Groningen)</t>
  </si>
  <si>
    <t xml:space="preserve">315 stuks voorraad</t>
  </si>
  <si>
    <t xml:space="preserve">Solibro 140WP = 320 panelen = 2.940 Wp x € 0,42/Wp</t>
  </si>
  <si>
    <t xml:space="preserve">telling Nardo</t>
  </si>
  <si>
    <t xml:space="preserve">Grijpvoorraad voor O&amp;M/garantiewerk (bevat geen Efacec spare parts)</t>
  </si>
  <si>
    <t xml:space="preserve">kabels en klein materiaal</t>
  </si>
  <si>
    <t xml:space="preserve">stelpost</t>
  </si>
  <si>
    <t xml:space="preserve">Container Wagenborgen (op locatie Roodehaan)</t>
  </si>
  <si>
    <t xml:space="preserve">3 pallet x Trina 310WP = 93 panelen x € 78,74 (cfm factuur 11/12/2019)</t>
  </si>
  <si>
    <t xml:space="preserve">2 losse panelen Trina 310WP (cfm factuur 11/12/2019)</t>
  </si>
  <si>
    <t xml:space="preserve">ijzerwerk onderstellen, zelftappers, reserve hisbox (combinerbox)</t>
  </si>
  <si>
    <t xml:space="preserve">Verder: alle Efacec spare parts</t>
  </si>
  <si>
    <t xml:space="preserve">€ 1.655,00 genoemd, niet in totaal. Weinig meer van over: bevestiging bij Rob van Mourik gevraagd = 1 moederbord en verder alleen nog wat kleine materialen</t>
  </si>
  <si>
    <t xml:space="preserve">Container Arnhem – fam. Berends</t>
  </si>
  <si>
    <t xml:space="preserve">Grijpvoorraad (kabels, bouten en moeren); kettingpaaltjes en kettingen</t>
  </si>
  <si>
    <t xml:space="preserve">Geen waarde opgegeven</t>
  </si>
  <si>
    <t xml:space="preserve">Totaal andere locaties (som van regels)</t>
  </si>
  <si>
    <t xml:space="preserve">Totaal andere locaties volgens PDF</t>
  </si>
  <si>
    <t xml:space="preserve">Verschil (= container Eerbeek, niet meegeteld in PDF-totaal)</t>
  </si>
  <si>
    <t xml:space="preserve">Totaal voorraad per eind Q4-2025 (volgens PDF-methode)</t>
  </si>
  <si>
    <t xml:space="preserve">PDF: € 109.477,94</t>
  </si>
  <si>
    <t xml:space="preserve">Bij mutatie van € 2.500 of meer: email naar Bert-Jan voor correctie op projectkosten. Update Nardo: geen materialen uit loods gehaald; 4-tal materialen naar loods gegaan en toegevoegd.</t>
  </si>
  <si>
    <t xml:space="preserve">Efacec spareparts: minimale ijzeren voorraad (garantietermijn 5 jaar vanuit leverancier); nu te verwaarlozen en wordt niet meer opgenomen.</t>
  </si>
  <si>
    <t xml:space="preserve">Bijlage 5: Geanonimiseerd overzicht van werknemers met functies en arbeidsvoorwaarden</t>
  </si>
  <si>
    <t xml:space="preserve">Bron: APA Activa Sunprojects (getekend door beiden), pagina 32</t>
  </si>
  <si>
    <t xml:space="preserve">Afdeling</t>
  </si>
  <si>
    <t xml:space="preserve">Persnr</t>
  </si>
  <si>
    <t xml:space="preserve">In dienst</t>
  </si>
  <si>
    <t xml:space="preserve">Functie</t>
  </si>
  <si>
    <t xml:space="preserve">Brutosalaris p/m 2025</t>
  </si>
  <si>
    <t xml:space="preserve">Pensioen compens. 2025</t>
  </si>
  <si>
    <t xml:space="preserve">Autokosten vergoeding 2025</t>
  </si>
  <si>
    <t xml:space="preserve">Type contract en arbeidsvoorwaarden 2025</t>
  </si>
  <si>
    <t xml:space="preserve">PT-er basis 2025</t>
  </si>
  <si>
    <t xml:space="preserve">Begroting 2026: aantal maanden</t>
  </si>
  <si>
    <t xml:space="preserve">FTE factor</t>
  </si>
  <si>
    <t xml:space="preserve">Brutosalaris 2026</t>
  </si>
  <si>
    <t xml:space="preserve">13e maand / Christmas</t>
  </si>
  <si>
    <t xml:space="preserve">Vakantietoeslag / Holiday</t>
  </si>
  <si>
    <t xml:space="preserve">Pensioen compens.</t>
  </si>
  <si>
    <t xml:space="preserve">Totaal brutosalaris 2026</t>
  </si>
  <si>
    <t xml:space="preserve">Lease auto / eigendom</t>
  </si>
  <si>
    <t xml:space="preserve">General</t>
  </si>
  <si>
    <t xml:space="preserve">Administration Support</t>
  </si>
  <si>
    <t xml:space="preserve">contract OT</t>
  </si>
  <si>
    <t xml:space="preserve">geen verhoging</t>
  </si>
  <si>
    <t xml:space="preserve">1-09-20</t>
  </si>
  <si>
    <t xml:space="preserve">CEO miv 01-01-2025</t>
  </si>
  <si>
    <t xml:space="preserve">contract OT / MT bonusregeling</t>
  </si>
  <si>
    <t xml:space="preserve">geen verhoging; € 10.000 bonus indien bepaalde netto winst wordt behaald</t>
  </si>
  <si>
    <t xml:space="preserve">Opel bus tijdelijk op eigen verzoek</t>
  </si>
  <si>
    <t xml:space="preserve">Sales</t>
  </si>
  <si>
    <t xml:space="preserve">1-10-20</t>
  </si>
  <si>
    <t xml:space="preserve">Accountmanager</t>
  </si>
  <si>
    <t xml:space="preserve">contract OT; retainer bonus (fixed bedrag op basis maandloon) € 16.500 per 1/7; omzetbonus geschat € 10.000 als gerealiseerde omzet &gt; € 5 mio - 10 mio</t>
  </si>
  <si>
    <t xml:space="preserve">verhoging per 1 jan-2023 gehad / daarna fixed</t>
  </si>
  <si>
    <t xml:space="preserve">Volvo XC90 R-975-SB met kilometerregistratie; de Volvo is in eigendom</t>
  </si>
  <si>
    <t xml:space="preserve">Project managers</t>
  </si>
  <si>
    <t xml:space="preserve">20-08-24</t>
  </si>
  <si>
    <t xml:space="preserve">Project manager-E</t>
  </si>
  <si>
    <t xml:space="preserve">contract BT</t>
  </si>
  <si>
    <t xml:space="preserve">in 2025 omzetting contract OT</t>
  </si>
  <si>
    <t xml:space="preserve">2-01-24</t>
  </si>
  <si>
    <t xml:space="preserve">laatste verhoging 01-11-2024</t>
  </si>
  <si>
    <t xml:space="preserve">Project manager-CM</t>
  </si>
  <si>
    <t xml:space="preserve">contract OT miv aug-24 + 38 uur/week</t>
  </si>
  <si>
    <t xml:space="preserve">laatste verhoging per 1 jan 2025</t>
  </si>
  <si>
    <t xml:space="preserve">Leaseauto Jeep</t>
  </si>
  <si>
    <t xml:space="preserve">22-05-23</t>
  </si>
  <si>
    <t xml:space="preserve">laatste verhoging per 23 dec 2023</t>
  </si>
  <si>
    <t xml:space="preserve">Leaseauto Kia Proceed</t>
  </si>
  <si>
    <t xml:space="preserve">1-12-18</t>
  </si>
  <si>
    <t xml:space="preserve">Service Technician</t>
  </si>
  <si>
    <t xml:space="preserve">laatste verhoging miv 01-01-2024</t>
  </si>
  <si>
    <t xml:space="preserve">1-03-24</t>
  </si>
  <si>
    <t xml:space="preserve">Project Engineer</t>
  </si>
  <si>
    <t xml:space="preserve">Engineering Porto</t>
  </si>
  <si>
    <t xml:space="preserve">15-01-18</t>
  </si>
  <si>
    <t xml:space="preserve">Director of Technology</t>
  </si>
  <si>
    <t xml:space="preserve">contract OT / eind 2024 verhoging gehad</t>
  </si>
  <si>
    <t xml:space="preserve">krijgen 13e maand = Christmas allowance</t>
  </si>
  <si>
    <t xml:space="preserve">6-05-19</t>
  </si>
  <si>
    <t xml:space="preserve">Design Engineer</t>
  </si>
  <si>
    <t xml:space="preserve">13-01-25</t>
  </si>
  <si>
    <t xml:space="preserve">contract BT 1 jaar</t>
  </si>
  <si>
    <t xml:space="preserve">Totaal brutosalaris p/m 2025</t>
  </si>
  <si>
    <t xml:space="preserve">PDF: € 55.980,38</t>
  </si>
  <si>
    <t xml:space="preserve">Opslag sociale lasten NL</t>
  </si>
  <si>
    <t xml:space="preserve">Opslag sociale lasten Portugal</t>
  </si>
  <si>
    <t xml:space="preserve">Totaal brutosalaris NL 2026</t>
  </si>
  <si>
    <t xml:space="preserve">Sociale lasten NL</t>
  </si>
  <si>
    <t xml:space="preserve">Totaal brutosalaris Portugal 2026</t>
  </si>
  <si>
    <t xml:space="preserve">Sociale lasten Portugal</t>
  </si>
  <si>
    <t xml:space="preserve">TOTAAL SALARIS EN SOCIALE LASTEN VAST PERSONEEL 2026</t>
  </si>
  <si>
    <t xml:space="preserve">Vorige begroting 2026 (november): totaal salaris en sociale lasten</t>
  </si>
  <si>
    <t xml:space="preserve">Aantal werknemers (volgens PDF)</t>
  </si>
  <si>
    <t xml:space="preserve">PDF-totalen: NL € 584.611,40; sociale lasten NL € 102.307; Portugal € 139.966; sociale lasten Portugal € 32.892; totaal € 859.776; FTE 11,3; 15 werknemers (12 in de lijst).</t>
  </si>
  <si>
    <t xml:space="preserve">Bijlage 6: Signed contracts and opportunities bij verkoopovereenkomst activa Sunprojects BV</t>
  </si>
  <si>
    <t xml:space="preserve">Bron: APA Activa Sunprojects (getekend door beiden), pagina 33 — stand 14-4-2026</t>
  </si>
  <si>
    <t xml:space="preserve">Project</t>
  </si>
  <si>
    <t xml:space="preserve">Start of work</t>
  </si>
  <si>
    <t xml:space="preserve">Remarks</t>
  </si>
  <si>
    <t xml:space="preserve">Signed contracts</t>
  </si>
  <si>
    <t xml:space="preserve">Waterproject Voorne Putten</t>
  </si>
  <si>
    <t xml:space="preserve">Q3-2026</t>
  </si>
  <si>
    <t xml:space="preserve">First payment has been done, installation work to start asap, SDE delay has been granted for August 2026.</t>
  </si>
  <si>
    <t xml:space="preserve">Bergen Greentrust, 2 phase installation</t>
  </si>
  <si>
    <t xml:space="preserve">Awaiting an appeal decision by the Raad van State, expectation is positive just as the first decision.</t>
  </si>
  <si>
    <t xml:space="preserve">Westfield The Mall of The Netherlands</t>
  </si>
  <si>
    <t xml:space="preserve">Q2-3-2026</t>
  </si>
  <si>
    <t xml:space="preserve">Roof of customer needs to have a fire resistant coating due to insurance reasons. Thereafter, we can start.</t>
  </si>
  <si>
    <t xml:space="preserve">Bergen 3</t>
  </si>
  <si>
    <t xml:space="preserve">Q2-2026</t>
  </si>
  <si>
    <t xml:space="preserve">Customer is getting the financing, everything else is done. Can we help after the integration?</t>
  </si>
  <si>
    <t xml:space="preserve">Gutami Oude Haske</t>
  </si>
  <si>
    <t xml:space="preserve">Municipality licences are all approved, now final negotiations.</t>
  </si>
  <si>
    <t xml:space="preserve">PV ground park Heidehoek (Hans Lambrechts is for 50% co-developer and co-owner)</t>
  </si>
  <si>
    <t xml:space="preserve">Only the BESS license is awaiting. Getting the financing is now going on.</t>
  </si>
  <si>
    <t xml:space="preserve">Carports Boreal</t>
  </si>
  <si>
    <t xml:space="preserve">Customer is waiting for final approval of headoffice in England.</t>
  </si>
  <si>
    <t xml:space="preserve">Total signed</t>
  </si>
  <si>
    <t xml:space="preserve">PDF: € 14.932.340 / € 2.510.906 / 16,8%</t>
  </si>
  <si>
    <t xml:space="preserve">Realistic projects/quotes in negotiation</t>
  </si>
  <si>
    <t xml:space="preserve">MOU of 25 ground projects in The Netherlands signed with NRG2All (backed by Omnes-France); waiting for grid connections, all other licenses obtained</t>
  </si>
  <si>
    <t xml:space="preserve">Pink properties, roof project, RFQ answered</t>
  </si>
  <si>
    <t xml:space="preserve">Decision in Q1-2026</t>
  </si>
  <si>
    <t xml:space="preserve">Total in negotiation</t>
  </si>
  <si>
    <t xml:space="preserve">Example calculation (Restant Koopprijs)</t>
  </si>
  <si>
    <t xml:space="preserve">Restant Koopprijs (voorbeeld)</t>
  </si>
  <si>
    <t xml:space="preserve">Aandeel Voorne Putten in totaal signed contracts</t>
  </si>
  <si>
    <t xml:space="preserve">Te betalen uit Restant Koopprijs</t>
  </si>
  <si>
    <t xml:space="preserve">PDF: 487.755 / 14.932.340 = 3,27%; 3,27% x 1.000.000 = € 32.664,34</t>
  </si>
  <si>
    <t xml:space="preserve">Pipeline of projects</t>
  </si>
  <si>
    <t xml:space="preserve">Nr / Project</t>
  </si>
  <si>
    <t xml:space="preserve">Location</t>
  </si>
  <si>
    <t xml:space="preserve">Project type</t>
  </si>
  <si>
    <t xml:space="preserve">Approx. size</t>
  </si>
  <si>
    <t xml:space="preserve">Opmerkingen</t>
  </si>
  <si>
    <t xml:space="preserve">1 Pavanis</t>
  </si>
  <si>
    <t xml:space="preserve">Maasheseweg 85 te Venray</t>
  </si>
  <si>
    <t xml:space="preserve">PV, BESS en laadpalen</t>
  </si>
  <si>
    <t xml:space="preserve">700m2?</t>
  </si>
  <si>
    <t xml:space="preserve">2 Dollard</t>
  </si>
  <si>
    <t xml:space="preserve">Groningen</t>
  </si>
  <si>
    <t xml:space="preserve">PV op land</t>
  </si>
  <si>
    <t xml:space="preserve">550MWp</t>
  </si>
  <si>
    <t xml:space="preserve">3 Google en NRG2All</t>
  </si>
  <si>
    <t xml:space="preserve">Blijham - Groningen</t>
  </si>
  <si>
    <t xml:space="preserve">PV op land + directe lijn</t>
  </si>
  <si>
    <t xml:space="preserve">35MWp</t>
  </si>
  <si>
    <t xml:space="preserve">4 Claritas</t>
  </si>
  <si>
    <t xml:space="preserve">Breskens</t>
  </si>
  <si>
    <t xml:space="preserve">BESS voor 2 locaties</t>
  </si>
  <si>
    <t xml:space="preserve">5 NRG2All</t>
  </si>
  <si>
    <t xml:space="preserve">Radboud ziekenhuis parkeren en PV</t>
  </si>
  <si>
    <t xml:space="preserve">6 Return BESS projecten</t>
  </si>
  <si>
    <t xml:space="preserve">3 BESS projecten van elk 200MWh</t>
  </si>
  <si>
    <t xml:space="preserve">3*BESS in NL en 2 in Duitsland</t>
  </si>
  <si>
    <t xml:space="preserve">&gt;1GWp</t>
  </si>
  <si>
    <t xml:space="preserve">7 2 OH&amp;M projecten van Theia</t>
  </si>
  <si>
    <t xml:space="preserve">Rotterdam en Rilland</t>
  </si>
  <si>
    <t xml:space="preserve">€ 160k fee / year</t>
  </si>
  <si>
    <t xml:space="preserve">8 Oranjeheuvel aanbesteding</t>
  </si>
  <si>
    <t xml:space="preserve">Gemeente Rotterdam</t>
  </si>
  <si>
    <t xml:space="preserve">20MWp</t>
  </si>
  <si>
    <t xml:space="preserve">9 Emmet Green</t>
  </si>
  <si>
    <t xml:space="preserve">Buitenzomerlanden</t>
  </si>
  <si>
    <t xml:space="preserve">18MWp</t>
  </si>
  <si>
    <t xml:space="preserve">10 NRG2All</t>
  </si>
  <si>
    <t xml:space="preserve">Zonnepark Heumen</t>
  </si>
  <si>
    <t xml:space="preserve">12MWp</t>
  </si>
  <si>
    <t xml:space="preserve">middels een directe lijn van 4,5 km.</t>
  </si>
  <si>
    <t xml:space="preserve">11 TP Solar</t>
  </si>
  <si>
    <t xml:space="preserve">Schiphol 2 projecten</t>
  </si>
  <si>
    <t xml:space="preserve">25 en 20MWp</t>
  </si>
  <si>
    <t xml:space="preserve">12 Google Belgium</t>
  </si>
  <si>
    <t xml:space="preserve">Dak van Datacenter</t>
  </si>
  <si>
    <t xml:space="preserve">PV op dak</t>
  </si>
  <si>
    <t xml:space="preserve">1 MWp</t>
  </si>
  <si>
    <t xml:space="preserve">13 Sunres lead generation</t>
  </si>
  <si>
    <t xml:space="preserve">BESS for agricultural sites, 4/week</t>
  </si>
  <si>
    <t xml:space="preserve">BESS of 250kWh-2MWh</t>
  </si>
  <si>
    <t xml:space="preserve">&gt;50MWh/year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</si>
</sst>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&quot;€ &quot;#,##0.00;&quot;(€ &quot;#,##0.00\);\-"/>
    <numFmt numFmtId="167" formatCode="0"/>
    <numFmt numFmtId="168" formatCode="0.0"/>
    <numFmt numFmtId="169" formatCode="&quot;€ &quot;#,##0;&quot;(€ &quot;#,##0\);\-"/>
    <numFmt numFmtId="170" formatCode="0.0%"/>
    <numFmt numFmtId="171" formatCode="0.000"/>
    <numFmt numFmtId="172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f aca="false">'Machines (p27)'!C37</f>
        <v>58472</v>
      </c>
      <c r="C6" s="6" t="n">
        <f aca="false">'Machines (p27)'!G37</f>
        <v>14804</v>
      </c>
      <c r="D6" s="6" t="n">
        <f aca="false">'Machines (p27)'!H37</f>
        <v>0</v>
      </c>
      <c r="E6" s="6" t="n">
        <f aca="false">'Machines (p27)'!I37</f>
        <v>7432</v>
      </c>
      <c r="F6" s="6" t="n">
        <f aca="false">'Machines (p27)'!J37</f>
        <v>58472</v>
      </c>
      <c r="G6" s="6" t="n">
        <f aca="false">'Machines (p27)'!L37</f>
        <v>7372</v>
      </c>
      <c r="H6" s="5" t="s">
        <v>12</v>
      </c>
    </row>
    <row r="7" customFormat="false" ht="15" hidden="false" customHeight="false" outlineLevel="0" collapsed="false">
      <c r="A7" s="5" t="s">
        <v>13</v>
      </c>
      <c r="B7" s="6" t="n">
        <f aca="false">'Kantoorinventaris (p29)'!C23</f>
        <v>17963</v>
      </c>
      <c r="C7" s="6" t="n">
        <f aca="false">'Kantoorinventaris (p29)'!G23</f>
        <v>2880</v>
      </c>
      <c r="D7" s="6" t="n">
        <f aca="false">'Kantoorinventaris (p29)'!H23</f>
        <v>0</v>
      </c>
      <c r="E7" s="6" t="n">
        <f aca="false">'Kantoorinventaris (p29)'!K23</f>
        <v>1773</v>
      </c>
      <c r="F7" s="6" t="n">
        <f aca="false">'Kantoorinventaris (p29)'!L23</f>
        <v>8966</v>
      </c>
      <c r="G7" s="6" t="n">
        <f aca="false">'Kantoorinventaris (p29)'!N23</f>
        <v>907</v>
      </c>
      <c r="H7" s="5" t="s">
        <v>14</v>
      </c>
    </row>
    <row r="8" customFormat="false" ht="15" hidden="false" customHeight="false" outlineLevel="0" collapsed="false">
      <c r="A8" s="5" t="s">
        <v>15</v>
      </c>
      <c r="B8" s="6" t="n">
        <f aca="false">'Automatisering (p31)'!C37</f>
        <v>64624</v>
      </c>
      <c r="C8" s="6" t="n">
        <f aca="false">'Automatisering (p31)'!G37</f>
        <v>22122</v>
      </c>
      <c r="D8" s="6" t="n">
        <f aca="false">'Automatisering (p31)'!H37</f>
        <v>478</v>
      </c>
      <c r="E8" s="6" t="n">
        <f aca="false">'Automatisering (p31)'!I37</f>
        <v>6989</v>
      </c>
      <c r="F8" s="6" t="n">
        <f aca="false">'Automatisering (p31)'!J37</f>
        <v>65102</v>
      </c>
      <c r="G8" s="6" t="n">
        <f aca="false">'Automatisering (p31)'!L37</f>
        <v>13813</v>
      </c>
      <c r="H8" s="5" t="s">
        <v>16</v>
      </c>
    </row>
    <row r="9" customFormat="false" ht="15" hidden="false" customHeight="false" outlineLevel="0" collapsed="false">
      <c r="A9" s="7" t="s">
        <v>17</v>
      </c>
      <c r="B9" s="8" t="n">
        <f aca="false">SUM(B6:B8)</f>
        <v>141059</v>
      </c>
      <c r="C9" s="8" t="n">
        <f aca="false">SUM(C6:C8)</f>
        <v>39806</v>
      </c>
      <c r="D9" s="8" t="n">
        <f aca="false">SUM(D6:D8)</f>
        <v>478</v>
      </c>
      <c r="E9" s="8" t="n">
        <f aca="false">SUM(E6:E8)</f>
        <v>16194</v>
      </c>
      <c r="F9" s="8" t="n">
        <f aca="false">SUM(F6:F8)</f>
        <v>132540</v>
      </c>
      <c r="G9" s="8" t="n">
        <f aca="false">SUM(G6:G8)</f>
        <v>22092</v>
      </c>
      <c r="H9" s="9"/>
    </row>
    <row r="10" customFormat="false" ht="15" hidden="false" customHeight="false" outlineLevel="0" collapsed="false">
      <c r="A10" s="2" t="s">
        <v>18</v>
      </c>
    </row>
    <row r="12" customFormat="false" ht="15" hidden="false" customHeight="false" outlineLevel="0" collapsed="false">
      <c r="A12" s="3" t="s">
        <v>19</v>
      </c>
    </row>
    <row r="13" customFormat="false" ht="15" hidden="false" customHeight="false" outlineLevel="0" collapsed="false">
      <c r="A13" s="5" t="s">
        <v>20</v>
      </c>
      <c r="B13" s="10" t="n">
        <f aca="false">'Voorraad (p30)'!G44</f>
        <v>98667.84</v>
      </c>
    </row>
    <row r="14" customFormat="false" ht="15" hidden="false" customHeight="false" outlineLevel="0" collapsed="false">
      <c r="A14" s="5" t="s">
        <v>21</v>
      </c>
      <c r="B14" s="10" t="n">
        <f aca="false">'Voorraad (p30)'!G61</f>
        <v>10810.1</v>
      </c>
    </row>
    <row r="15" customFormat="false" ht="15" hidden="false" customHeight="false" outlineLevel="0" collapsed="false">
      <c r="A15" s="7" t="s">
        <v>22</v>
      </c>
      <c r="B15" s="11" t="n">
        <f aca="false">'Voorraad (p30)'!G64</f>
        <v>109477.94</v>
      </c>
    </row>
    <row r="16" customFormat="false" ht="15" hidden="false" customHeight="false" outlineLevel="0" collapsed="false">
      <c r="A16" s="2" t="s">
        <v>23</v>
      </c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5" t="s">
        <v>25</v>
      </c>
      <c r="B19" s="12" t="n">
        <f aca="false">COUNTA('Auto''s (p28)'!D5:D9)</f>
        <v>5</v>
      </c>
    </row>
    <row r="20" customFormat="false" ht="15" hidden="false" customHeight="false" outlineLevel="0" collapsed="false">
      <c r="A20" s="5" t="s">
        <v>26</v>
      </c>
      <c r="B20" s="10" t="n">
        <f aca="false">'Auto''s (p28)'!H10</f>
        <v>4150.32</v>
      </c>
    </row>
    <row r="21" customFormat="false" ht="15" hidden="false" customHeight="false" outlineLevel="0" collapsed="false">
      <c r="A21" s="5" t="s">
        <v>27</v>
      </c>
      <c r="B21" s="10" t="n">
        <f aca="false">'Auto''s (p28)'!A10</f>
        <v>125682.22</v>
      </c>
    </row>
    <row r="22" customFormat="false" ht="15" hidden="false" customHeight="false" outlineLevel="0" collapsed="false">
      <c r="A22" s="5" t="s">
        <v>28</v>
      </c>
      <c r="B22" s="10" t="n">
        <f aca="false">'Auto''s (p28)'!A14</f>
        <v>43949.99</v>
      </c>
    </row>
    <row r="24" customFormat="false" ht="15" hidden="false" customHeight="false" outlineLevel="0" collapsed="false">
      <c r="A24" s="3" t="s">
        <v>29</v>
      </c>
    </row>
    <row r="25" customFormat="false" ht="15" hidden="false" customHeight="false" outlineLevel="0" collapsed="false">
      <c r="A25" s="5" t="s">
        <v>30</v>
      </c>
      <c r="B25" s="12" t="n">
        <f aca="false">'Personeel (p32)'!Q28</f>
        <v>15</v>
      </c>
    </row>
    <row r="26" customFormat="false" ht="15" hidden="false" customHeight="false" outlineLevel="0" collapsed="false">
      <c r="A26" s="5" t="s">
        <v>31</v>
      </c>
      <c r="B26" s="13" t="n">
        <f aca="false">'Personeel (p32)'!Q27</f>
        <v>11.341666</v>
      </c>
    </row>
    <row r="27" customFormat="false" ht="15" hidden="false" customHeight="false" outlineLevel="0" collapsed="false">
      <c r="A27" s="7" t="s">
        <v>32</v>
      </c>
      <c r="B27" s="14" t="n">
        <f aca="false">'Personeel (p32)'!Q25</f>
        <v>859776</v>
      </c>
    </row>
    <row r="28" customFormat="false" ht="15" hidden="false" customHeight="false" outlineLevel="0" collapsed="false">
      <c r="A28" s="5" t="s">
        <v>33</v>
      </c>
      <c r="B28" s="15" t="n">
        <f aca="false">'Personeel (p32)'!Q26</f>
        <v>1182329</v>
      </c>
    </row>
    <row r="29" customFormat="false" ht="15" hidden="false" customHeight="false" outlineLevel="0" collapsed="false">
      <c r="A29" s="5" t="s">
        <v>34</v>
      </c>
      <c r="B29" s="16" t="n">
        <f aca="false">B27-B28</f>
        <v>-322553</v>
      </c>
    </row>
    <row r="31" customFormat="false" ht="15" hidden="false" customHeight="false" outlineLevel="0" collapsed="false">
      <c r="A31" s="3" t="s">
        <v>35</v>
      </c>
    </row>
    <row r="32" customFormat="false" ht="15" hidden="false" customHeight="false" outlineLevel="0" collapsed="false">
      <c r="A32" s="17"/>
      <c r="B32" s="17" t="s">
        <v>36</v>
      </c>
      <c r="C32" s="17" t="s">
        <v>37</v>
      </c>
      <c r="D32" s="17" t="s">
        <v>38</v>
      </c>
    </row>
    <row r="33" customFormat="false" ht="15" hidden="false" customHeight="false" outlineLevel="0" collapsed="false">
      <c r="A33" s="5" t="s">
        <v>39</v>
      </c>
      <c r="B33" s="15" t="n">
        <f aca="false">'Contracten (p33)'!B13</f>
        <v>14932340</v>
      </c>
      <c r="C33" s="15" t="n">
        <f aca="false">'Contracten (p33)'!C13</f>
        <v>2510906</v>
      </c>
      <c r="D33" s="18" t="n">
        <f aca="false">IF(B33=0,0,C33/B33)</f>
        <v>0.168152211910524</v>
      </c>
    </row>
    <row r="34" customFormat="false" ht="15" hidden="false" customHeight="false" outlineLevel="0" collapsed="false">
      <c r="A34" s="5" t="s">
        <v>40</v>
      </c>
      <c r="B34" s="15" t="n">
        <f aca="false">'Contracten (p33)'!B18</f>
        <v>236000</v>
      </c>
      <c r="C34" s="15" t="n">
        <f aca="false">'Contracten (p33)'!C18</f>
        <v>50000</v>
      </c>
      <c r="D34" s="18" t="n">
        <f aca="false">IF(B34=0,0,C34/B34)</f>
        <v>0.211864406779661</v>
      </c>
    </row>
    <row r="35" customFormat="false" ht="15" hidden="false" customHeight="false" outlineLevel="0" collapsed="false">
      <c r="A35" s="5" t="s">
        <v>41</v>
      </c>
      <c r="B35" s="12" t="n">
        <f aca="false">COUNTA('Contracten (p33)'!A28:A40)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2" min="9" style="0" width="13"/>
    <col collapsed="false" customWidth="true" hidden="false" outlineLevel="0" max="13" min="13" style="0" width="11"/>
    <col collapsed="false" customWidth="true" hidden="false" outlineLevel="0" max="14" min="14" style="0" width="36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1.5" hidden="false" customHeight="true" outlineLevel="0" collapsed="false">
      <c r="A4" s="4" t="s">
        <v>44</v>
      </c>
      <c r="B4" s="4" t="s">
        <v>45</v>
      </c>
      <c r="C4" s="4" t="s">
        <v>4</v>
      </c>
      <c r="D4" s="4" t="s">
        <v>46</v>
      </c>
      <c r="E4" s="4" t="s">
        <v>47</v>
      </c>
      <c r="F4" s="4" t="s">
        <v>48</v>
      </c>
      <c r="G4" s="4" t="s">
        <v>5</v>
      </c>
      <c r="H4" s="4" t="s">
        <v>6</v>
      </c>
      <c r="I4" s="4" t="s">
        <v>49</v>
      </c>
      <c r="J4" s="4" t="s">
        <v>8</v>
      </c>
      <c r="K4" s="4" t="s">
        <v>50</v>
      </c>
      <c r="L4" s="4" t="s">
        <v>9</v>
      </c>
      <c r="M4" s="4" t="s">
        <v>51</v>
      </c>
      <c r="N4" s="4" t="s">
        <v>52</v>
      </c>
      <c r="O4" s="4" t="s">
        <v>53</v>
      </c>
    </row>
    <row r="5" customFormat="false" ht="15" hidden="false" customHeight="false" outlineLevel="0" collapsed="false">
      <c r="A5" s="5" t="s">
        <v>54</v>
      </c>
      <c r="B5" s="19" t="s">
        <v>55</v>
      </c>
      <c r="C5" s="20" t="n">
        <v>894</v>
      </c>
      <c r="D5" s="21" t="n">
        <v>0</v>
      </c>
      <c r="E5" s="22" t="n">
        <v>0.2</v>
      </c>
      <c r="F5" s="20" t="n">
        <v>894</v>
      </c>
      <c r="G5" s="20" t="n">
        <v>0</v>
      </c>
      <c r="H5" s="23"/>
      <c r="I5" s="20" t="n">
        <v>0</v>
      </c>
      <c r="J5" s="23" t="n">
        <f aca="false">C5+H5</f>
        <v>894</v>
      </c>
      <c r="K5" s="23" t="n">
        <f aca="false">F5+I5</f>
        <v>894</v>
      </c>
      <c r="L5" s="23" t="n">
        <f aca="false">J5-K5</f>
        <v>0</v>
      </c>
      <c r="M5" s="20" t="n">
        <v>0</v>
      </c>
      <c r="N5" s="5" t="s">
        <v>56</v>
      </c>
      <c r="O5" s="5"/>
    </row>
    <row r="6" customFormat="false" ht="15" hidden="false" customHeight="false" outlineLevel="0" collapsed="false">
      <c r="A6" s="5" t="s">
        <v>57</v>
      </c>
      <c r="B6" s="19" t="s">
        <v>58</v>
      </c>
      <c r="C6" s="20" t="n">
        <v>481</v>
      </c>
      <c r="D6" s="21" t="n">
        <v>0</v>
      </c>
      <c r="E6" s="22" t="n">
        <v>0.2</v>
      </c>
      <c r="F6" s="20" t="n">
        <v>481</v>
      </c>
      <c r="G6" s="20" t="n">
        <v>0</v>
      </c>
      <c r="H6" s="23"/>
      <c r="I6" s="20" t="n">
        <v>0</v>
      </c>
      <c r="J6" s="23" t="n">
        <f aca="false">C6+H6</f>
        <v>481</v>
      </c>
      <c r="K6" s="23" t="n">
        <f aca="false">F6+I6</f>
        <v>481</v>
      </c>
      <c r="L6" s="23" t="n">
        <f aca="false">J6-K6</f>
        <v>0</v>
      </c>
      <c r="M6" s="20" t="n">
        <v>0</v>
      </c>
      <c r="N6" s="5" t="s">
        <v>56</v>
      </c>
      <c r="O6" s="5"/>
    </row>
    <row r="7" customFormat="false" ht="15" hidden="false" customHeight="false" outlineLevel="0" collapsed="false">
      <c r="A7" s="5" t="s">
        <v>59</v>
      </c>
      <c r="B7" s="19" t="s">
        <v>60</v>
      </c>
      <c r="C7" s="20" t="n">
        <v>607</v>
      </c>
      <c r="D7" s="21" t="n">
        <v>0</v>
      </c>
      <c r="E7" s="22" t="n">
        <v>0.2</v>
      </c>
      <c r="F7" s="20" t="n">
        <v>607</v>
      </c>
      <c r="G7" s="20" t="n">
        <v>0</v>
      </c>
      <c r="H7" s="23"/>
      <c r="I7" s="20" t="n">
        <v>0</v>
      </c>
      <c r="J7" s="23" t="n">
        <f aca="false">C7+H7</f>
        <v>607</v>
      </c>
      <c r="K7" s="23" t="n">
        <f aca="false">F7+I7</f>
        <v>607</v>
      </c>
      <c r="L7" s="23" t="n">
        <f aca="false">J7-K7</f>
        <v>0</v>
      </c>
      <c r="M7" s="20" t="n">
        <v>0</v>
      </c>
      <c r="N7" s="5" t="s">
        <v>56</v>
      </c>
      <c r="O7" s="5"/>
    </row>
    <row r="8" customFormat="false" ht="15" hidden="false" customHeight="false" outlineLevel="0" collapsed="false">
      <c r="A8" s="5" t="s">
        <v>61</v>
      </c>
      <c r="B8" s="19" t="s">
        <v>62</v>
      </c>
      <c r="C8" s="20" t="n">
        <v>894</v>
      </c>
      <c r="D8" s="21" t="n">
        <v>0</v>
      </c>
      <c r="E8" s="22" t="n">
        <v>0.2</v>
      </c>
      <c r="F8" s="20" t="n">
        <v>894</v>
      </c>
      <c r="G8" s="20" t="n">
        <v>0</v>
      </c>
      <c r="H8" s="23"/>
      <c r="I8" s="20" t="n">
        <v>0</v>
      </c>
      <c r="J8" s="23" t="n">
        <f aca="false">C8+H8</f>
        <v>894</v>
      </c>
      <c r="K8" s="23" t="n">
        <f aca="false">F8+I8</f>
        <v>894</v>
      </c>
      <c r="L8" s="23" t="n">
        <f aca="false">J8-K8</f>
        <v>0</v>
      </c>
      <c r="M8" s="20" t="n">
        <v>0</v>
      </c>
      <c r="N8" s="5" t="s">
        <v>56</v>
      </c>
      <c r="O8" s="5"/>
    </row>
    <row r="9" customFormat="false" ht="15" hidden="false" customHeight="false" outlineLevel="0" collapsed="false">
      <c r="A9" s="5" t="s">
        <v>63</v>
      </c>
      <c r="B9" s="19" t="s">
        <v>64</v>
      </c>
      <c r="C9" s="20" t="n">
        <v>1040</v>
      </c>
      <c r="D9" s="21" t="n">
        <v>0</v>
      </c>
      <c r="E9" s="22" t="n">
        <v>0.2</v>
      </c>
      <c r="F9" s="20" t="n">
        <v>1040</v>
      </c>
      <c r="G9" s="20" t="n">
        <v>0</v>
      </c>
      <c r="H9" s="23"/>
      <c r="I9" s="20" t="n">
        <v>0</v>
      </c>
      <c r="J9" s="23" t="n">
        <f aca="false">C9+H9</f>
        <v>1040</v>
      </c>
      <c r="K9" s="23" t="n">
        <f aca="false">F9+I9</f>
        <v>1040</v>
      </c>
      <c r="L9" s="23" t="n">
        <f aca="false">J9-K9</f>
        <v>0</v>
      </c>
      <c r="M9" s="20" t="n">
        <v>0</v>
      </c>
      <c r="N9" s="5" t="s">
        <v>56</v>
      </c>
      <c r="O9" s="5"/>
    </row>
    <row r="10" customFormat="false" ht="15" hidden="false" customHeight="false" outlineLevel="0" collapsed="false">
      <c r="A10" s="5" t="s">
        <v>65</v>
      </c>
      <c r="B10" s="19" t="s">
        <v>66</v>
      </c>
      <c r="C10" s="20" t="n">
        <v>1100</v>
      </c>
      <c r="D10" s="21" t="n">
        <v>0</v>
      </c>
      <c r="E10" s="22" t="n">
        <v>0.2</v>
      </c>
      <c r="F10" s="20" t="n">
        <v>1100</v>
      </c>
      <c r="G10" s="20" t="n">
        <v>0</v>
      </c>
      <c r="H10" s="23"/>
      <c r="I10" s="20" t="n">
        <v>0</v>
      </c>
      <c r="J10" s="23" t="n">
        <f aca="false">C10+H10</f>
        <v>1100</v>
      </c>
      <c r="K10" s="23" t="n">
        <f aca="false">F10+I10</f>
        <v>1100</v>
      </c>
      <c r="L10" s="23" t="n">
        <f aca="false">J10-K10</f>
        <v>0</v>
      </c>
      <c r="M10" s="20" t="n">
        <v>0</v>
      </c>
      <c r="N10" s="5" t="s">
        <v>67</v>
      </c>
      <c r="O10" s="5"/>
    </row>
    <row r="11" customFormat="false" ht="15" hidden="false" customHeight="false" outlineLevel="0" collapsed="false">
      <c r="A11" s="5" t="s">
        <v>68</v>
      </c>
      <c r="B11" s="19" t="s">
        <v>69</v>
      </c>
      <c r="C11" s="20" t="n">
        <v>2995</v>
      </c>
      <c r="D11" s="21" t="n">
        <v>12</v>
      </c>
      <c r="E11" s="22" t="n">
        <v>0.2</v>
      </c>
      <c r="F11" s="20" t="n">
        <v>2995</v>
      </c>
      <c r="G11" s="20" t="n">
        <v>0</v>
      </c>
      <c r="H11" s="23"/>
      <c r="I11" s="20" t="n">
        <v>0</v>
      </c>
      <c r="J11" s="23" t="n">
        <f aca="false">C11+H11</f>
        <v>2995</v>
      </c>
      <c r="K11" s="23" t="n">
        <f aca="false">F11+I11</f>
        <v>2995</v>
      </c>
      <c r="L11" s="23" t="n">
        <f aca="false">J11-K11</f>
        <v>0</v>
      </c>
      <c r="M11" s="20" t="n">
        <v>0</v>
      </c>
      <c r="N11" s="5" t="s">
        <v>56</v>
      </c>
      <c r="O11" s="5"/>
    </row>
    <row r="12" customFormat="false" ht="15" hidden="false" customHeight="false" outlineLevel="0" collapsed="false">
      <c r="A12" s="5" t="s">
        <v>70</v>
      </c>
      <c r="B12" s="19" t="s">
        <v>71</v>
      </c>
      <c r="C12" s="20" t="n">
        <v>1699</v>
      </c>
      <c r="D12" s="21" t="n">
        <v>12</v>
      </c>
      <c r="E12" s="22" t="n">
        <v>0.2</v>
      </c>
      <c r="F12" s="20" t="n">
        <v>1699</v>
      </c>
      <c r="G12" s="20" t="n">
        <v>0</v>
      </c>
      <c r="H12" s="23"/>
      <c r="I12" s="20" t="n">
        <v>0</v>
      </c>
      <c r="J12" s="23" t="n">
        <f aca="false">C12+H12</f>
        <v>1699</v>
      </c>
      <c r="K12" s="23" t="n">
        <f aca="false">F12+I12</f>
        <v>1699</v>
      </c>
      <c r="L12" s="23" t="n">
        <f aca="false">J12-K12</f>
        <v>0</v>
      </c>
      <c r="M12" s="20" t="n">
        <v>0</v>
      </c>
      <c r="N12" s="5" t="s">
        <v>56</v>
      </c>
      <c r="O12" s="5"/>
    </row>
    <row r="13" customFormat="false" ht="15" hidden="false" customHeight="false" outlineLevel="0" collapsed="false">
      <c r="A13" s="5" t="s">
        <v>72</v>
      </c>
      <c r="B13" s="19" t="s">
        <v>73</v>
      </c>
      <c r="C13" s="20" t="n">
        <v>1540</v>
      </c>
      <c r="D13" s="21" t="n">
        <v>12</v>
      </c>
      <c r="E13" s="22" t="n">
        <v>0.2</v>
      </c>
      <c r="F13" s="20" t="n">
        <v>1540</v>
      </c>
      <c r="G13" s="20" t="n">
        <v>0</v>
      </c>
      <c r="H13" s="23"/>
      <c r="I13" s="20" t="n">
        <v>0</v>
      </c>
      <c r="J13" s="23" t="n">
        <f aca="false">C13+H13</f>
        <v>1540</v>
      </c>
      <c r="K13" s="23" t="n">
        <f aca="false">F13+I13</f>
        <v>1540</v>
      </c>
      <c r="L13" s="23" t="n">
        <f aca="false">J13-K13</f>
        <v>0</v>
      </c>
      <c r="M13" s="20" t="n">
        <v>0</v>
      </c>
      <c r="N13" s="5" t="s">
        <v>74</v>
      </c>
      <c r="O13" s="5"/>
    </row>
    <row r="14" customFormat="false" ht="15" hidden="false" customHeight="false" outlineLevel="0" collapsed="false">
      <c r="A14" s="5" t="s">
        <v>75</v>
      </c>
      <c r="B14" s="19" t="s">
        <v>76</v>
      </c>
      <c r="C14" s="20" t="n">
        <v>1400</v>
      </c>
      <c r="D14" s="21" t="n">
        <v>12</v>
      </c>
      <c r="E14" s="22" t="n">
        <v>0.2</v>
      </c>
      <c r="F14" s="20" t="n">
        <v>1377</v>
      </c>
      <c r="G14" s="20" t="n">
        <v>23</v>
      </c>
      <c r="H14" s="23"/>
      <c r="I14" s="20" t="n">
        <v>23</v>
      </c>
      <c r="J14" s="23" t="n">
        <f aca="false">C14+H14</f>
        <v>1400</v>
      </c>
      <c r="K14" s="23" t="n">
        <f aca="false">F14+I14</f>
        <v>1400</v>
      </c>
      <c r="L14" s="23" t="n">
        <f aca="false">J14-K14</f>
        <v>0</v>
      </c>
      <c r="M14" s="20" t="n">
        <v>0</v>
      </c>
      <c r="N14" s="5" t="s">
        <v>77</v>
      </c>
      <c r="O14" s="5"/>
    </row>
    <row r="15" customFormat="false" ht="15" hidden="false" customHeight="false" outlineLevel="0" collapsed="false">
      <c r="A15" s="5" t="s">
        <v>78</v>
      </c>
      <c r="B15" s="19" t="s">
        <v>79</v>
      </c>
      <c r="C15" s="20" t="n">
        <v>1460</v>
      </c>
      <c r="D15" s="21" t="n">
        <v>12</v>
      </c>
      <c r="E15" s="22" t="n">
        <v>0.2</v>
      </c>
      <c r="F15" s="20" t="n">
        <v>1436</v>
      </c>
      <c r="G15" s="20" t="n">
        <v>24</v>
      </c>
      <c r="H15" s="23"/>
      <c r="I15" s="20" t="n">
        <v>24</v>
      </c>
      <c r="J15" s="23" t="n">
        <f aca="false">C15+H15</f>
        <v>1460</v>
      </c>
      <c r="K15" s="23" t="n">
        <f aca="false">F15+I15</f>
        <v>1460</v>
      </c>
      <c r="L15" s="23" t="n">
        <f aca="false">J15-K15</f>
        <v>0</v>
      </c>
      <c r="M15" s="20" t="n">
        <v>0</v>
      </c>
      <c r="N15" s="5" t="s">
        <v>80</v>
      </c>
      <c r="O15" s="5"/>
    </row>
    <row r="16" customFormat="false" ht="15" hidden="false" customHeight="false" outlineLevel="0" collapsed="false">
      <c r="A16" s="5" t="s">
        <v>81</v>
      </c>
      <c r="B16" s="19" t="s">
        <v>82</v>
      </c>
      <c r="C16" s="20" t="n">
        <v>6159</v>
      </c>
      <c r="D16" s="21" t="n">
        <v>12</v>
      </c>
      <c r="E16" s="22" t="n">
        <v>0.2</v>
      </c>
      <c r="F16" s="20" t="n">
        <v>5544</v>
      </c>
      <c r="G16" s="20" t="n">
        <v>615</v>
      </c>
      <c r="H16" s="23"/>
      <c r="I16" s="20" t="n">
        <v>615</v>
      </c>
      <c r="J16" s="23" t="n">
        <f aca="false">C16+H16</f>
        <v>6159</v>
      </c>
      <c r="K16" s="23" t="n">
        <f aca="false">F16+I16</f>
        <v>6159</v>
      </c>
      <c r="L16" s="23" t="n">
        <f aca="false">J16-K16</f>
        <v>0</v>
      </c>
      <c r="M16" s="20" t="n">
        <v>0</v>
      </c>
      <c r="N16" s="5" t="s">
        <v>83</v>
      </c>
      <c r="O16" s="5"/>
    </row>
    <row r="17" customFormat="false" ht="15" hidden="false" customHeight="false" outlineLevel="0" collapsed="false">
      <c r="A17" s="5" t="s">
        <v>84</v>
      </c>
      <c r="B17" s="19" t="s">
        <v>85</v>
      </c>
      <c r="C17" s="20" t="n">
        <v>4245</v>
      </c>
      <c r="D17" s="21" t="n">
        <v>12</v>
      </c>
      <c r="E17" s="22" t="n">
        <v>0.2</v>
      </c>
      <c r="F17" s="20" t="n">
        <v>3821</v>
      </c>
      <c r="G17" s="20" t="n">
        <v>424</v>
      </c>
      <c r="H17" s="23"/>
      <c r="I17" s="20" t="n">
        <v>424</v>
      </c>
      <c r="J17" s="23" t="n">
        <f aca="false">C17+H17</f>
        <v>4245</v>
      </c>
      <c r="K17" s="23" t="n">
        <f aca="false">F17+I17</f>
        <v>4245</v>
      </c>
      <c r="L17" s="23" t="n">
        <f aca="false">J17-K17</f>
        <v>0</v>
      </c>
      <c r="M17" s="20" t="n">
        <v>0</v>
      </c>
      <c r="N17" s="5" t="s">
        <v>56</v>
      </c>
      <c r="O17" s="5"/>
    </row>
    <row r="18" customFormat="false" ht="15" hidden="false" customHeight="false" outlineLevel="0" collapsed="false">
      <c r="A18" s="5" t="s">
        <v>86</v>
      </c>
      <c r="B18" s="19" t="s">
        <v>87</v>
      </c>
      <c r="C18" s="20" t="n">
        <v>1599</v>
      </c>
      <c r="D18" s="21" t="n">
        <v>12</v>
      </c>
      <c r="E18" s="22" t="n">
        <v>0.2</v>
      </c>
      <c r="F18" s="20" t="n">
        <v>1387</v>
      </c>
      <c r="G18" s="20" t="n">
        <v>212</v>
      </c>
      <c r="H18" s="23"/>
      <c r="I18" s="20" t="n">
        <v>212</v>
      </c>
      <c r="J18" s="23" t="n">
        <f aca="false">C18+H18</f>
        <v>1599</v>
      </c>
      <c r="K18" s="23" t="n">
        <f aca="false">F18+I18</f>
        <v>1599</v>
      </c>
      <c r="L18" s="23" t="n">
        <f aca="false">J18-K18</f>
        <v>0</v>
      </c>
      <c r="M18" s="20" t="n">
        <v>0</v>
      </c>
      <c r="N18" s="5" t="s">
        <v>56</v>
      </c>
      <c r="O18" s="5"/>
    </row>
    <row r="19" customFormat="false" ht="15" hidden="false" customHeight="false" outlineLevel="0" collapsed="false">
      <c r="A19" s="5" t="s">
        <v>88</v>
      </c>
      <c r="B19" s="19" t="s">
        <v>89</v>
      </c>
      <c r="C19" s="20" t="n">
        <v>3319</v>
      </c>
      <c r="D19" s="21" t="n">
        <v>12</v>
      </c>
      <c r="E19" s="22" t="n">
        <v>0.2</v>
      </c>
      <c r="F19" s="20" t="n">
        <v>2877</v>
      </c>
      <c r="G19" s="20" t="n">
        <v>442</v>
      </c>
      <c r="H19" s="23"/>
      <c r="I19" s="20" t="n">
        <v>442</v>
      </c>
      <c r="J19" s="23" t="n">
        <f aca="false">C19+H19</f>
        <v>3319</v>
      </c>
      <c r="K19" s="23" t="n">
        <f aca="false">F19+I19</f>
        <v>3319</v>
      </c>
      <c r="L19" s="23" t="n">
        <f aca="false">J19-K19</f>
        <v>0</v>
      </c>
      <c r="M19" s="20" t="n">
        <v>0</v>
      </c>
      <c r="N19" s="5" t="s">
        <v>56</v>
      </c>
      <c r="O19" s="5"/>
    </row>
    <row r="20" customFormat="false" ht="15" hidden="false" customHeight="false" outlineLevel="0" collapsed="false">
      <c r="A20" s="5" t="s">
        <v>90</v>
      </c>
      <c r="B20" s="19" t="s">
        <v>91</v>
      </c>
      <c r="C20" s="20" t="n">
        <v>3495</v>
      </c>
      <c r="D20" s="21" t="n">
        <v>12</v>
      </c>
      <c r="E20" s="22" t="n">
        <v>0.2</v>
      </c>
      <c r="F20" s="20" t="n">
        <v>2913</v>
      </c>
      <c r="G20" s="20" t="n">
        <v>582</v>
      </c>
      <c r="H20" s="23"/>
      <c r="I20" s="20" t="n">
        <v>582</v>
      </c>
      <c r="J20" s="23" t="n">
        <f aca="false">C20+H20</f>
        <v>3495</v>
      </c>
      <c r="K20" s="23" t="n">
        <f aca="false">F20+I20</f>
        <v>3495</v>
      </c>
      <c r="L20" s="23" t="n">
        <f aca="false">J20-K20</f>
        <v>0</v>
      </c>
      <c r="M20" s="20" t="n">
        <v>0</v>
      </c>
      <c r="N20" s="5" t="s">
        <v>56</v>
      </c>
      <c r="O20" s="5"/>
    </row>
    <row r="21" customFormat="false" ht="15" hidden="false" customHeight="false" outlineLevel="0" collapsed="false">
      <c r="A21" s="5" t="s">
        <v>92</v>
      </c>
      <c r="B21" s="19" t="s">
        <v>93</v>
      </c>
      <c r="C21" s="20" t="n">
        <v>2759</v>
      </c>
      <c r="D21" s="21" t="n">
        <v>12</v>
      </c>
      <c r="E21" s="22" t="n">
        <v>0.2</v>
      </c>
      <c r="F21" s="20" t="n">
        <v>2162</v>
      </c>
      <c r="G21" s="20" t="n">
        <v>597</v>
      </c>
      <c r="H21" s="23"/>
      <c r="I21" s="20" t="n">
        <v>552</v>
      </c>
      <c r="J21" s="23" t="n">
        <f aca="false">C21+H21</f>
        <v>2759</v>
      </c>
      <c r="K21" s="23" t="n">
        <f aca="false">F21+I21</f>
        <v>2714</v>
      </c>
      <c r="L21" s="23" t="n">
        <f aca="false">J21-K21</f>
        <v>45</v>
      </c>
      <c r="M21" s="20" t="n">
        <v>0</v>
      </c>
      <c r="N21" s="5" t="s">
        <v>94</v>
      </c>
      <c r="O21" s="5"/>
    </row>
    <row r="22" customFormat="false" ht="15" hidden="false" customHeight="false" outlineLevel="0" collapsed="false">
      <c r="A22" s="5" t="s">
        <v>95</v>
      </c>
      <c r="B22" s="19" t="s">
        <v>96</v>
      </c>
      <c r="C22" s="20" t="n">
        <v>4750</v>
      </c>
      <c r="D22" s="21" t="n">
        <v>12</v>
      </c>
      <c r="E22" s="22" t="n">
        <v>0.2</v>
      </c>
      <c r="F22" s="20" t="n">
        <v>3642</v>
      </c>
      <c r="G22" s="20" t="n">
        <v>1108</v>
      </c>
      <c r="H22" s="23"/>
      <c r="I22" s="20" t="n">
        <v>950</v>
      </c>
      <c r="J22" s="23" t="n">
        <f aca="false">C22+H22</f>
        <v>4750</v>
      </c>
      <c r="K22" s="23" t="n">
        <f aca="false">F22+I22</f>
        <v>4592</v>
      </c>
      <c r="L22" s="23" t="n">
        <f aca="false">J22-K22</f>
        <v>158</v>
      </c>
      <c r="M22" s="20" t="n">
        <v>0</v>
      </c>
      <c r="N22" s="5" t="s">
        <v>94</v>
      </c>
      <c r="O22" s="5"/>
    </row>
    <row r="23" customFormat="false" ht="15" hidden="false" customHeight="false" outlineLevel="0" collapsed="false">
      <c r="A23" s="5" t="s">
        <v>97</v>
      </c>
      <c r="B23" s="19" t="s">
        <v>98</v>
      </c>
      <c r="C23" s="20" t="n">
        <v>1000</v>
      </c>
      <c r="D23" s="21" t="n">
        <v>12</v>
      </c>
      <c r="E23" s="22" t="n">
        <v>0.2</v>
      </c>
      <c r="F23" s="20" t="n">
        <v>750</v>
      </c>
      <c r="G23" s="20" t="n">
        <v>250</v>
      </c>
      <c r="H23" s="23"/>
      <c r="I23" s="20" t="n">
        <v>200</v>
      </c>
      <c r="J23" s="23" t="n">
        <f aca="false">C23+H23</f>
        <v>1000</v>
      </c>
      <c r="K23" s="23" t="n">
        <f aca="false">F23+I23</f>
        <v>950</v>
      </c>
      <c r="L23" s="23" t="n">
        <f aca="false">J23-K23</f>
        <v>50</v>
      </c>
      <c r="M23" s="20" t="n">
        <v>0</v>
      </c>
      <c r="N23" s="5" t="s">
        <v>99</v>
      </c>
      <c r="O23" s="5"/>
    </row>
    <row r="24" customFormat="false" ht="15" hidden="false" customHeight="false" outlineLevel="0" collapsed="false">
      <c r="A24" s="5" t="s">
        <v>100</v>
      </c>
      <c r="B24" s="19" t="s">
        <v>98</v>
      </c>
      <c r="C24" s="20" t="n">
        <v>1466</v>
      </c>
      <c r="D24" s="21" t="n">
        <v>12</v>
      </c>
      <c r="E24" s="22" t="n">
        <v>0.2</v>
      </c>
      <c r="F24" s="20" t="n">
        <v>1099</v>
      </c>
      <c r="G24" s="20" t="n">
        <v>367</v>
      </c>
      <c r="H24" s="23"/>
      <c r="I24" s="20" t="n">
        <v>293</v>
      </c>
      <c r="J24" s="23" t="n">
        <f aca="false">C24+H24</f>
        <v>1466</v>
      </c>
      <c r="K24" s="23" t="n">
        <f aca="false">F24+I24</f>
        <v>1392</v>
      </c>
      <c r="L24" s="23" t="n">
        <f aca="false">J24-K24</f>
        <v>74</v>
      </c>
      <c r="M24" s="20" t="n">
        <v>0</v>
      </c>
      <c r="N24" s="5" t="s">
        <v>101</v>
      </c>
      <c r="O24" s="5"/>
    </row>
    <row r="25" customFormat="false" ht="15" hidden="false" customHeight="false" outlineLevel="0" collapsed="false">
      <c r="A25" s="5" t="s">
        <v>102</v>
      </c>
      <c r="B25" s="19" t="s">
        <v>103</v>
      </c>
      <c r="C25" s="20" t="n">
        <v>1095</v>
      </c>
      <c r="D25" s="21" t="n">
        <v>12</v>
      </c>
      <c r="E25" s="22" t="n">
        <v>0.2</v>
      </c>
      <c r="F25" s="20" t="n">
        <v>803</v>
      </c>
      <c r="G25" s="20" t="n">
        <v>292</v>
      </c>
      <c r="H25" s="23"/>
      <c r="I25" s="20" t="n">
        <v>219</v>
      </c>
      <c r="J25" s="23" t="n">
        <f aca="false">C25+H25</f>
        <v>1095</v>
      </c>
      <c r="K25" s="23" t="n">
        <f aca="false">F25+I25</f>
        <v>1022</v>
      </c>
      <c r="L25" s="23" t="n">
        <f aca="false">J25-K25</f>
        <v>73</v>
      </c>
      <c r="M25" s="20" t="n">
        <v>0</v>
      </c>
      <c r="N25" s="5" t="s">
        <v>56</v>
      </c>
      <c r="O25" s="5"/>
    </row>
    <row r="26" customFormat="false" ht="15" hidden="false" customHeight="false" outlineLevel="0" collapsed="false">
      <c r="A26" s="5" t="s">
        <v>104</v>
      </c>
      <c r="B26" s="19" t="s">
        <v>105</v>
      </c>
      <c r="C26" s="20" t="n">
        <v>549</v>
      </c>
      <c r="D26" s="21" t="n">
        <v>12</v>
      </c>
      <c r="E26" s="22" t="n">
        <v>0.2</v>
      </c>
      <c r="F26" s="20" t="n">
        <v>348</v>
      </c>
      <c r="G26" s="20" t="n">
        <v>201</v>
      </c>
      <c r="H26" s="23"/>
      <c r="I26" s="20" t="n">
        <v>110</v>
      </c>
      <c r="J26" s="23" t="n">
        <f aca="false">C26+H26</f>
        <v>549</v>
      </c>
      <c r="K26" s="23" t="n">
        <f aca="false">F26+I26</f>
        <v>458</v>
      </c>
      <c r="L26" s="23" t="n">
        <f aca="false">J26-K26</f>
        <v>91</v>
      </c>
      <c r="M26" s="20" t="n">
        <v>0</v>
      </c>
      <c r="N26" s="5" t="s">
        <v>56</v>
      </c>
      <c r="O26" s="5"/>
    </row>
    <row r="27" customFormat="false" ht="15" hidden="false" customHeight="false" outlineLevel="0" collapsed="false">
      <c r="A27" s="5" t="s">
        <v>106</v>
      </c>
      <c r="B27" s="19" t="s">
        <v>107</v>
      </c>
      <c r="C27" s="20" t="n">
        <v>1648</v>
      </c>
      <c r="D27" s="21" t="n">
        <v>12</v>
      </c>
      <c r="E27" s="22" t="n">
        <v>0.2</v>
      </c>
      <c r="F27" s="20" t="n">
        <v>907</v>
      </c>
      <c r="G27" s="20" t="n">
        <v>741</v>
      </c>
      <c r="H27" s="23"/>
      <c r="I27" s="20" t="n">
        <v>330</v>
      </c>
      <c r="J27" s="23" t="n">
        <f aca="false">C27+H27</f>
        <v>1648</v>
      </c>
      <c r="K27" s="23" t="n">
        <f aca="false">F27+I27</f>
        <v>1237</v>
      </c>
      <c r="L27" s="23" t="n">
        <f aca="false">J27-K27</f>
        <v>411</v>
      </c>
      <c r="M27" s="20" t="n">
        <v>0</v>
      </c>
      <c r="N27" s="5" t="s">
        <v>94</v>
      </c>
      <c r="O27" s="5"/>
    </row>
    <row r="28" customFormat="false" ht="15" hidden="false" customHeight="false" outlineLevel="0" collapsed="false">
      <c r="A28" s="5" t="s">
        <v>108</v>
      </c>
      <c r="B28" s="19" t="s">
        <v>109</v>
      </c>
      <c r="C28" s="20" t="n">
        <v>495</v>
      </c>
      <c r="D28" s="21" t="n">
        <v>12</v>
      </c>
      <c r="E28" s="22" t="n">
        <v>0.2</v>
      </c>
      <c r="F28" s="20" t="n">
        <v>248</v>
      </c>
      <c r="G28" s="20" t="n">
        <v>247</v>
      </c>
      <c r="H28" s="23"/>
      <c r="I28" s="20" t="n">
        <v>99</v>
      </c>
      <c r="J28" s="23" t="n">
        <f aca="false">C28+H28</f>
        <v>495</v>
      </c>
      <c r="K28" s="23" t="n">
        <f aca="false">F28+I28</f>
        <v>347</v>
      </c>
      <c r="L28" s="23" t="n">
        <f aca="false">J28-K28</f>
        <v>148</v>
      </c>
      <c r="M28" s="20" t="n">
        <v>0</v>
      </c>
      <c r="N28" s="5" t="s">
        <v>101</v>
      </c>
      <c r="O28" s="5"/>
    </row>
    <row r="29" customFormat="false" ht="15" hidden="false" customHeight="false" outlineLevel="0" collapsed="false">
      <c r="A29" s="5" t="s">
        <v>110</v>
      </c>
      <c r="B29" s="19" t="s">
        <v>111</v>
      </c>
      <c r="C29" s="20" t="n">
        <v>452</v>
      </c>
      <c r="D29" s="21" t="n">
        <v>12</v>
      </c>
      <c r="E29" s="22" t="n">
        <v>0.2</v>
      </c>
      <c r="F29" s="20" t="n">
        <v>195</v>
      </c>
      <c r="G29" s="20" t="n">
        <v>257</v>
      </c>
      <c r="H29" s="23"/>
      <c r="I29" s="20" t="n">
        <v>90</v>
      </c>
      <c r="J29" s="23" t="n">
        <f aca="false">C29+H29</f>
        <v>452</v>
      </c>
      <c r="K29" s="23" t="n">
        <f aca="false">F29+I29</f>
        <v>285</v>
      </c>
      <c r="L29" s="23" t="n">
        <f aca="false">J29-K29</f>
        <v>167</v>
      </c>
      <c r="M29" s="20" t="n">
        <v>0</v>
      </c>
      <c r="N29" s="5" t="s">
        <v>56</v>
      </c>
      <c r="O29" s="5" t="s">
        <v>112</v>
      </c>
    </row>
    <row r="30" customFormat="false" ht="15" hidden="false" customHeight="false" outlineLevel="0" collapsed="false">
      <c r="A30" s="5" t="s">
        <v>113</v>
      </c>
      <c r="B30" s="19" t="s">
        <v>114</v>
      </c>
      <c r="C30" s="20" t="n">
        <v>2099</v>
      </c>
      <c r="D30" s="21" t="n">
        <v>12</v>
      </c>
      <c r="E30" s="22" t="n">
        <v>0.2</v>
      </c>
      <c r="F30" s="20" t="n">
        <v>910</v>
      </c>
      <c r="G30" s="20" t="n">
        <v>1189</v>
      </c>
      <c r="H30" s="23"/>
      <c r="I30" s="20" t="n">
        <v>420</v>
      </c>
      <c r="J30" s="23" t="n">
        <f aca="false">C30+H30</f>
        <v>2099</v>
      </c>
      <c r="K30" s="23" t="n">
        <f aca="false">F30+I30</f>
        <v>1330</v>
      </c>
      <c r="L30" s="23" t="n">
        <f aca="false">J30-K30</f>
        <v>769</v>
      </c>
      <c r="M30" s="20" t="n">
        <v>0</v>
      </c>
      <c r="N30" s="5" t="s">
        <v>56</v>
      </c>
      <c r="O30" s="5"/>
    </row>
    <row r="31" customFormat="false" ht="15" hidden="false" customHeight="false" outlineLevel="0" collapsed="false">
      <c r="A31" s="5" t="s">
        <v>115</v>
      </c>
      <c r="B31" s="19" t="s">
        <v>116</v>
      </c>
      <c r="C31" s="20" t="n">
        <v>1647</v>
      </c>
      <c r="D31" s="21" t="n">
        <v>12</v>
      </c>
      <c r="E31" s="22" t="n">
        <v>0.2</v>
      </c>
      <c r="F31" s="20" t="n">
        <v>604</v>
      </c>
      <c r="G31" s="20" t="n">
        <v>1043</v>
      </c>
      <c r="H31" s="23"/>
      <c r="I31" s="20" t="n">
        <v>329</v>
      </c>
      <c r="J31" s="23" t="n">
        <f aca="false">C31+H31</f>
        <v>1647</v>
      </c>
      <c r="K31" s="23" t="n">
        <f aca="false">F31+I31</f>
        <v>933</v>
      </c>
      <c r="L31" s="23" t="n">
        <f aca="false">J31-K31</f>
        <v>714</v>
      </c>
      <c r="M31" s="20" t="n">
        <v>0</v>
      </c>
      <c r="N31" s="5" t="s">
        <v>101</v>
      </c>
      <c r="O31" s="5"/>
    </row>
    <row r="32" customFormat="false" ht="15" hidden="false" customHeight="false" outlineLevel="0" collapsed="false">
      <c r="A32" s="5" t="s">
        <v>117</v>
      </c>
      <c r="B32" s="19" t="s">
        <v>118</v>
      </c>
      <c r="C32" s="20" t="n">
        <v>1543</v>
      </c>
      <c r="D32" s="21" t="n">
        <v>12</v>
      </c>
      <c r="E32" s="22" t="n">
        <v>0.2</v>
      </c>
      <c r="F32" s="20" t="n">
        <v>386</v>
      </c>
      <c r="G32" s="20" t="n">
        <v>1157</v>
      </c>
      <c r="H32" s="23"/>
      <c r="I32" s="20" t="n">
        <v>309</v>
      </c>
      <c r="J32" s="23" t="n">
        <f aca="false">C32+H32</f>
        <v>1543</v>
      </c>
      <c r="K32" s="23" t="n">
        <f aca="false">F32+I32</f>
        <v>695</v>
      </c>
      <c r="L32" s="23" t="n">
        <f aca="false">J32-K32</f>
        <v>848</v>
      </c>
      <c r="M32" s="20" t="n">
        <v>0</v>
      </c>
      <c r="N32" s="5" t="s">
        <v>119</v>
      </c>
      <c r="O32" s="5"/>
    </row>
    <row r="33" customFormat="false" ht="15" hidden="false" customHeight="false" outlineLevel="0" collapsed="false">
      <c r="A33" s="5" t="s">
        <v>120</v>
      </c>
      <c r="B33" s="19" t="s">
        <v>121</v>
      </c>
      <c r="C33" s="20" t="n">
        <v>1539</v>
      </c>
      <c r="D33" s="21" t="n">
        <v>12</v>
      </c>
      <c r="E33" s="22" t="n">
        <v>0.2</v>
      </c>
      <c r="F33" s="20" t="n">
        <v>334</v>
      </c>
      <c r="G33" s="20" t="n">
        <v>1205</v>
      </c>
      <c r="H33" s="23"/>
      <c r="I33" s="20" t="n">
        <v>308</v>
      </c>
      <c r="J33" s="23" t="n">
        <f aca="false">C33+H33</f>
        <v>1539</v>
      </c>
      <c r="K33" s="23" t="n">
        <f aca="false">F33+I33</f>
        <v>642</v>
      </c>
      <c r="L33" s="23" t="n">
        <f aca="false">J33-K33</f>
        <v>897</v>
      </c>
      <c r="M33" s="20" t="n">
        <v>0</v>
      </c>
      <c r="N33" s="5" t="s">
        <v>122</v>
      </c>
      <c r="O33" s="5"/>
    </row>
    <row r="34" customFormat="false" ht="15" hidden="false" customHeight="false" outlineLevel="0" collapsed="false">
      <c r="A34" s="5" t="s">
        <v>123</v>
      </c>
      <c r="B34" s="19" t="s">
        <v>124</v>
      </c>
      <c r="C34" s="20" t="n">
        <v>588</v>
      </c>
      <c r="D34" s="21" t="n">
        <v>12</v>
      </c>
      <c r="E34" s="22" t="n">
        <v>0.2</v>
      </c>
      <c r="F34" s="20" t="n">
        <v>88</v>
      </c>
      <c r="G34" s="20" t="n">
        <v>500</v>
      </c>
      <c r="H34" s="23"/>
      <c r="I34" s="20" t="n">
        <v>118</v>
      </c>
      <c r="J34" s="23" t="n">
        <f aca="false">C34+H34</f>
        <v>588</v>
      </c>
      <c r="K34" s="23" t="n">
        <f aca="false">F34+I34</f>
        <v>206</v>
      </c>
      <c r="L34" s="23" t="n">
        <f aca="false">J34-K34</f>
        <v>382</v>
      </c>
      <c r="M34" s="20" t="n">
        <v>0</v>
      </c>
      <c r="N34" s="5" t="s">
        <v>125</v>
      </c>
      <c r="O34" s="5"/>
    </row>
    <row r="35" customFormat="false" ht="15" hidden="false" customHeight="false" outlineLevel="0" collapsed="false">
      <c r="A35" s="5" t="s">
        <v>126</v>
      </c>
      <c r="B35" s="19" t="s">
        <v>127</v>
      </c>
      <c r="C35" s="20" t="n">
        <v>3915</v>
      </c>
      <c r="D35" s="21" t="n">
        <v>12</v>
      </c>
      <c r="E35" s="22" t="n">
        <v>0.2</v>
      </c>
      <c r="F35" s="20" t="n">
        <v>587</v>
      </c>
      <c r="G35" s="20" t="n">
        <v>3328</v>
      </c>
      <c r="H35" s="23"/>
      <c r="I35" s="20" t="n">
        <v>783</v>
      </c>
      <c r="J35" s="23" t="n">
        <f aca="false">C35+H35</f>
        <v>3915</v>
      </c>
      <c r="K35" s="23" t="n">
        <f aca="false">F35+I35</f>
        <v>1370</v>
      </c>
      <c r="L35" s="23" t="n">
        <f aca="false">J35-K35</f>
        <v>2545</v>
      </c>
      <c r="M35" s="20" t="n">
        <v>0</v>
      </c>
      <c r="N35" s="5" t="s">
        <v>128</v>
      </c>
      <c r="O35" s="5"/>
    </row>
    <row r="37" customFormat="false" ht="15" hidden="false" customHeight="false" outlineLevel="0" collapsed="false">
      <c r="A37" s="7" t="s">
        <v>129</v>
      </c>
      <c r="B37" s="9"/>
      <c r="C37" s="8" t="n">
        <f aca="false">SUM(C5:C35)</f>
        <v>58472</v>
      </c>
      <c r="D37" s="9"/>
      <c r="E37" s="9"/>
      <c r="F37" s="8" t="n">
        <f aca="false">SUM(F5:F35)</f>
        <v>43668</v>
      </c>
      <c r="G37" s="8" t="n">
        <f aca="false">SUM(G5:G35)</f>
        <v>14804</v>
      </c>
      <c r="H37" s="8" t="n">
        <f aca="false">SUM(H5:H35)</f>
        <v>0</v>
      </c>
      <c r="I37" s="8" t="n">
        <f aca="false">SUM(I5:I35)</f>
        <v>7432</v>
      </c>
      <c r="J37" s="8" t="n">
        <f aca="false">SUM(J5:J35)</f>
        <v>58472</v>
      </c>
      <c r="K37" s="8" t="n">
        <f aca="false">SUM(K5:K35)</f>
        <v>51100</v>
      </c>
      <c r="L37" s="8" t="n">
        <f aca="false">SUM(L5:L35)</f>
        <v>7372</v>
      </c>
      <c r="M37" s="8" t="n">
        <f aca="false">SUM(M5:M35)</f>
        <v>0</v>
      </c>
    </row>
    <row r="38" customFormat="false" ht="15" hidden="false" customHeight="false" outlineLevel="0" collapsed="false">
      <c r="A38" s="24" t="s">
        <v>130</v>
      </c>
      <c r="C38" s="20" t="n">
        <v>58472</v>
      </c>
      <c r="F38" s="20" t="n">
        <v>43668</v>
      </c>
      <c r="G38" s="20" t="n">
        <v>14804</v>
      </c>
      <c r="H38" s="20" t="n">
        <v>0</v>
      </c>
      <c r="I38" s="20" t="n">
        <v>7432</v>
      </c>
      <c r="J38" s="20" t="n">
        <v>58472</v>
      </c>
      <c r="K38" s="20" t="n">
        <v>51100</v>
      </c>
      <c r="L38" s="20" t="n">
        <v>7372</v>
      </c>
      <c r="M38" s="20" t="n">
        <v>0</v>
      </c>
    </row>
    <row r="39" customFormat="false" ht="15" hidden="false" customHeight="false" outlineLevel="0" collapsed="false">
      <c r="A39" s="24" t="s">
        <v>131</v>
      </c>
      <c r="C39" s="23" t="n">
        <f aca="false">C37-C38</f>
        <v>0</v>
      </c>
      <c r="F39" s="23" t="n">
        <f aca="false">F37-F38</f>
        <v>0</v>
      </c>
      <c r="G39" s="23" t="n">
        <f aca="false">G37-G38</f>
        <v>0</v>
      </c>
      <c r="H39" s="23" t="n">
        <f aca="false">H37-H38</f>
        <v>0</v>
      </c>
      <c r="I39" s="23" t="n">
        <f aca="false">I37-I38</f>
        <v>0</v>
      </c>
      <c r="J39" s="23" t="n">
        <f aca="false">J37-J38</f>
        <v>0</v>
      </c>
      <c r="K39" s="23" t="n">
        <f aca="false">K37-K38</f>
        <v>0</v>
      </c>
      <c r="L39" s="23" t="n">
        <f aca="false">L37-L38</f>
        <v>0</v>
      </c>
      <c r="M39" s="23" t="n">
        <f aca="false">M37-M38</f>
        <v>0</v>
      </c>
    </row>
    <row r="41" customFormat="false" ht="15" hidden="false" customHeight="false" outlineLevel="0" collapsed="false">
      <c r="A41" s="2" t="s">
        <v>132</v>
      </c>
    </row>
    <row r="42" customFormat="false" ht="15" hidden="false" customHeight="false" outlineLevel="0" collapsed="false">
      <c r="A42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4" min="9" style="0" width="13"/>
    <col collapsed="false" customWidth="true" hidden="false" outlineLevel="0" max="15" min="15" style="0" width="11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31.5" hidden="false" customHeight="true" outlineLevel="0" collapsed="false">
      <c r="A4" s="4" t="s">
        <v>44</v>
      </c>
      <c r="B4" s="4" t="s">
        <v>45</v>
      </c>
      <c r="C4" s="4" t="s">
        <v>4</v>
      </c>
      <c r="D4" s="4" t="s">
        <v>46</v>
      </c>
      <c r="E4" s="4" t="s">
        <v>47</v>
      </c>
      <c r="F4" s="4" t="s">
        <v>48</v>
      </c>
      <c r="G4" s="4" t="s">
        <v>5</v>
      </c>
      <c r="H4" s="4" t="s">
        <v>6</v>
      </c>
      <c r="I4" s="4" t="s">
        <v>136</v>
      </c>
      <c r="J4" s="4" t="s">
        <v>137</v>
      </c>
      <c r="K4" s="4" t="s">
        <v>49</v>
      </c>
      <c r="L4" s="4" t="s">
        <v>8</v>
      </c>
      <c r="M4" s="4" t="s">
        <v>50</v>
      </c>
      <c r="N4" s="4" t="s">
        <v>9</v>
      </c>
      <c r="O4" s="4" t="s">
        <v>51</v>
      </c>
      <c r="P4" s="4" t="s">
        <v>138</v>
      </c>
    </row>
    <row r="5" customFormat="false" ht="15" hidden="false" customHeight="false" outlineLevel="0" collapsed="false">
      <c r="A5" s="5" t="s">
        <v>139</v>
      </c>
      <c r="B5" s="19" t="s">
        <v>140</v>
      </c>
      <c r="C5" s="20" t="n">
        <v>1000</v>
      </c>
      <c r="D5" s="21" t="n">
        <v>0</v>
      </c>
      <c r="E5" s="22" t="n">
        <v>0.2</v>
      </c>
      <c r="F5" s="20" t="n">
        <v>1000</v>
      </c>
      <c r="G5" s="20" t="n">
        <v>0</v>
      </c>
      <c r="H5" s="23"/>
      <c r="I5" s="20" t="n">
        <v>-1000</v>
      </c>
      <c r="J5" s="20" t="n">
        <v>-1000</v>
      </c>
      <c r="K5" s="20" t="n">
        <v>0</v>
      </c>
      <c r="L5" s="23" t="n">
        <f aca="false">C5+H5+I5</f>
        <v>0</v>
      </c>
      <c r="M5" s="23" t="n">
        <f aca="false">F5+J5+K5</f>
        <v>0</v>
      </c>
      <c r="N5" s="23" t="n">
        <f aca="false">L5-M5</f>
        <v>0</v>
      </c>
      <c r="O5" s="20" t="n">
        <v>0</v>
      </c>
      <c r="P5" s="5"/>
    </row>
    <row r="6" customFormat="false" ht="15" hidden="false" customHeight="false" outlineLevel="0" collapsed="false">
      <c r="A6" s="5" t="s">
        <v>141</v>
      </c>
      <c r="B6" s="19" t="s">
        <v>142</v>
      </c>
      <c r="C6" s="20" t="n">
        <v>474</v>
      </c>
      <c r="D6" s="21" t="n">
        <v>0</v>
      </c>
      <c r="E6" s="22" t="n">
        <v>0.2</v>
      </c>
      <c r="F6" s="20" t="n">
        <v>474</v>
      </c>
      <c r="G6" s="20" t="n">
        <v>0</v>
      </c>
      <c r="H6" s="23"/>
      <c r="I6" s="20" t="n">
        <v>-474</v>
      </c>
      <c r="J6" s="20" t="n">
        <v>-474</v>
      </c>
      <c r="K6" s="20" t="n">
        <v>0</v>
      </c>
      <c r="L6" s="23" t="n">
        <f aca="false">C6+H6+I6</f>
        <v>0</v>
      </c>
      <c r="M6" s="23" t="n">
        <f aca="false">F6+J6+K6</f>
        <v>0</v>
      </c>
      <c r="N6" s="23" t="n">
        <f aca="false">L6-M6</f>
        <v>0</v>
      </c>
      <c r="O6" s="20" t="n">
        <v>0</v>
      </c>
      <c r="P6" s="5"/>
    </row>
    <row r="7" customFormat="false" ht="15" hidden="false" customHeight="false" outlineLevel="0" collapsed="false">
      <c r="A7" s="5" t="s">
        <v>143</v>
      </c>
      <c r="B7" s="19" t="s">
        <v>142</v>
      </c>
      <c r="C7" s="20" t="n">
        <v>372</v>
      </c>
      <c r="D7" s="21" t="n">
        <v>0</v>
      </c>
      <c r="E7" s="22" t="n">
        <v>0.2</v>
      </c>
      <c r="F7" s="20" t="n">
        <v>372</v>
      </c>
      <c r="G7" s="20" t="n">
        <v>0</v>
      </c>
      <c r="H7" s="23"/>
      <c r="I7" s="23"/>
      <c r="J7" s="23"/>
      <c r="K7" s="20" t="n">
        <v>0</v>
      </c>
      <c r="L7" s="23" t="n">
        <f aca="false">C7+H7+I7</f>
        <v>372</v>
      </c>
      <c r="M7" s="23" t="n">
        <f aca="false">F7+J7+K7</f>
        <v>372</v>
      </c>
      <c r="N7" s="23" t="n">
        <f aca="false">L7-M7</f>
        <v>0</v>
      </c>
      <c r="O7" s="20" t="n">
        <v>0</v>
      </c>
      <c r="P7" s="5"/>
    </row>
    <row r="8" customFormat="false" ht="15" hidden="false" customHeight="false" outlineLevel="0" collapsed="false">
      <c r="A8" s="5" t="s">
        <v>144</v>
      </c>
      <c r="B8" s="19" t="s">
        <v>145</v>
      </c>
      <c r="C8" s="20" t="n">
        <v>454</v>
      </c>
      <c r="D8" s="21" t="n">
        <v>0</v>
      </c>
      <c r="E8" s="22" t="n">
        <v>0.2</v>
      </c>
      <c r="F8" s="20" t="n">
        <v>454</v>
      </c>
      <c r="G8" s="20" t="n">
        <v>0</v>
      </c>
      <c r="H8" s="23"/>
      <c r="I8" s="20" t="n">
        <v>-454</v>
      </c>
      <c r="J8" s="20" t="n">
        <v>-454</v>
      </c>
      <c r="K8" s="20" t="n">
        <v>0</v>
      </c>
      <c r="L8" s="23" t="n">
        <f aca="false">C8+H8+I8</f>
        <v>0</v>
      </c>
      <c r="M8" s="23" t="n">
        <f aca="false">F8+J8+K8</f>
        <v>0</v>
      </c>
      <c r="N8" s="23" t="n">
        <f aca="false">L8-M8</f>
        <v>0</v>
      </c>
      <c r="O8" s="20" t="n">
        <v>0</v>
      </c>
      <c r="P8" s="5"/>
    </row>
    <row r="9" customFormat="false" ht="15" hidden="false" customHeight="false" outlineLevel="0" collapsed="false">
      <c r="A9" s="5" t="s">
        <v>146</v>
      </c>
      <c r="B9" s="19" t="s">
        <v>147</v>
      </c>
      <c r="C9" s="20" t="n">
        <v>499</v>
      </c>
      <c r="D9" s="21" t="n">
        <v>0</v>
      </c>
      <c r="E9" s="22" t="n">
        <v>0.2</v>
      </c>
      <c r="F9" s="20" t="n">
        <v>499</v>
      </c>
      <c r="G9" s="20" t="n">
        <v>0</v>
      </c>
      <c r="H9" s="23"/>
      <c r="I9" s="23"/>
      <c r="J9" s="23"/>
      <c r="K9" s="20" t="n">
        <v>0</v>
      </c>
      <c r="L9" s="23" t="n">
        <f aca="false">C9+H9+I9</f>
        <v>499</v>
      </c>
      <c r="M9" s="23" t="n">
        <f aca="false">F9+J9+K9</f>
        <v>499</v>
      </c>
      <c r="N9" s="23" t="n">
        <f aca="false">L9-M9</f>
        <v>0</v>
      </c>
      <c r="O9" s="20" t="n">
        <v>0</v>
      </c>
      <c r="P9" s="5"/>
    </row>
    <row r="10" customFormat="false" ht="15" hidden="false" customHeight="false" outlineLevel="0" collapsed="false">
      <c r="A10" s="5" t="s">
        <v>148</v>
      </c>
      <c r="B10" s="19" t="s">
        <v>149</v>
      </c>
      <c r="C10" s="20" t="n">
        <v>904</v>
      </c>
      <c r="D10" s="21" t="n">
        <v>0</v>
      </c>
      <c r="E10" s="22" t="n">
        <v>0.2</v>
      </c>
      <c r="F10" s="20" t="n">
        <v>904</v>
      </c>
      <c r="G10" s="20" t="n">
        <v>0</v>
      </c>
      <c r="H10" s="23"/>
      <c r="I10" s="20" t="n">
        <v>-904</v>
      </c>
      <c r="J10" s="20" t="n">
        <v>-904</v>
      </c>
      <c r="K10" s="20" t="n">
        <v>0</v>
      </c>
      <c r="L10" s="23" t="n">
        <f aca="false">C10+H10+I10</f>
        <v>0</v>
      </c>
      <c r="M10" s="23" t="n">
        <f aca="false">F10+J10+K10</f>
        <v>0</v>
      </c>
      <c r="N10" s="23" t="n">
        <f aca="false">L10-M10</f>
        <v>0</v>
      </c>
      <c r="O10" s="20" t="n">
        <v>0</v>
      </c>
      <c r="P10" s="5"/>
    </row>
    <row r="11" customFormat="false" ht="15" hidden="false" customHeight="false" outlineLevel="0" collapsed="false">
      <c r="A11" s="5" t="s">
        <v>150</v>
      </c>
      <c r="B11" s="19" t="s">
        <v>151</v>
      </c>
      <c r="C11" s="20" t="n">
        <v>571</v>
      </c>
      <c r="D11" s="21" t="n">
        <v>0</v>
      </c>
      <c r="E11" s="22" t="n">
        <v>0.2</v>
      </c>
      <c r="F11" s="20" t="n">
        <v>571</v>
      </c>
      <c r="G11" s="20" t="n">
        <v>0</v>
      </c>
      <c r="H11" s="23"/>
      <c r="I11" s="23"/>
      <c r="J11" s="23"/>
      <c r="K11" s="20" t="n">
        <v>0</v>
      </c>
      <c r="L11" s="23" t="n">
        <f aca="false">C11+H11+I11</f>
        <v>571</v>
      </c>
      <c r="M11" s="23" t="n">
        <f aca="false">F11+J11+K11</f>
        <v>571</v>
      </c>
      <c r="N11" s="23" t="n">
        <f aca="false">L11-M11</f>
        <v>0</v>
      </c>
      <c r="O11" s="20" t="n">
        <v>0</v>
      </c>
      <c r="P11" s="5"/>
    </row>
    <row r="12" customFormat="false" ht="15" hidden="false" customHeight="false" outlineLevel="0" collapsed="false">
      <c r="A12" s="5" t="s">
        <v>152</v>
      </c>
      <c r="B12" s="19" t="s">
        <v>153</v>
      </c>
      <c r="C12" s="20" t="n">
        <v>3150</v>
      </c>
      <c r="D12" s="21" t="n">
        <v>8</v>
      </c>
      <c r="E12" s="22" t="n">
        <v>0.2</v>
      </c>
      <c r="F12" s="20" t="n">
        <v>2940</v>
      </c>
      <c r="G12" s="20" t="n">
        <v>210</v>
      </c>
      <c r="H12" s="23"/>
      <c r="I12" s="20" t="n">
        <v>-3150</v>
      </c>
      <c r="J12" s="20" t="n">
        <v>-3150</v>
      </c>
      <c r="K12" s="20" t="n">
        <v>210</v>
      </c>
      <c r="L12" s="23" t="n">
        <f aca="false">C12+H12+I12</f>
        <v>0</v>
      </c>
      <c r="M12" s="23" t="n">
        <f aca="false">F12+J12+K12</f>
        <v>0</v>
      </c>
      <c r="N12" s="23" t="n">
        <f aca="false">L12-M12</f>
        <v>0</v>
      </c>
      <c r="O12" s="20" t="n">
        <v>0</v>
      </c>
      <c r="P12" s="5"/>
    </row>
    <row r="13" customFormat="false" ht="15" hidden="false" customHeight="false" outlineLevel="0" collapsed="false">
      <c r="A13" s="5" t="s">
        <v>154</v>
      </c>
      <c r="B13" s="19" t="s">
        <v>155</v>
      </c>
      <c r="C13" s="20" t="n">
        <v>1616</v>
      </c>
      <c r="D13" s="21" t="n">
        <v>8</v>
      </c>
      <c r="E13" s="22" t="n">
        <v>0.2</v>
      </c>
      <c r="F13" s="20" t="n">
        <v>1481</v>
      </c>
      <c r="G13" s="20" t="n">
        <v>135</v>
      </c>
      <c r="H13" s="23"/>
      <c r="I13" s="20" t="n">
        <v>-1616</v>
      </c>
      <c r="J13" s="20" t="n">
        <v>-1616</v>
      </c>
      <c r="K13" s="20" t="n">
        <v>135</v>
      </c>
      <c r="L13" s="23" t="n">
        <f aca="false">C13+H13+I13</f>
        <v>0</v>
      </c>
      <c r="M13" s="23" t="n">
        <f aca="false">F13+J13+K13</f>
        <v>0</v>
      </c>
      <c r="N13" s="23" t="n">
        <f aca="false">L13-M13</f>
        <v>0</v>
      </c>
      <c r="O13" s="20" t="n">
        <v>0</v>
      </c>
      <c r="P13" s="5"/>
    </row>
    <row r="14" customFormat="false" ht="15" hidden="false" customHeight="false" outlineLevel="0" collapsed="false">
      <c r="A14" s="5" t="s">
        <v>156</v>
      </c>
      <c r="B14" s="19" t="s">
        <v>157</v>
      </c>
      <c r="C14" s="20" t="n">
        <v>939</v>
      </c>
      <c r="D14" s="21" t="n">
        <v>8</v>
      </c>
      <c r="E14" s="22" t="n">
        <v>0.2</v>
      </c>
      <c r="F14" s="20" t="n">
        <v>862</v>
      </c>
      <c r="G14" s="20" t="n">
        <v>77</v>
      </c>
      <c r="H14" s="23"/>
      <c r="I14" s="20" t="n">
        <v>-939</v>
      </c>
      <c r="J14" s="20" t="n">
        <v>-939</v>
      </c>
      <c r="K14" s="20" t="n">
        <v>77</v>
      </c>
      <c r="L14" s="23" t="n">
        <f aca="false">C14+H14+I14</f>
        <v>0</v>
      </c>
      <c r="M14" s="23" t="n">
        <f aca="false">F14+J14+K14</f>
        <v>0</v>
      </c>
      <c r="N14" s="23" t="n">
        <f aca="false">L14-M14</f>
        <v>0</v>
      </c>
      <c r="O14" s="20" t="n">
        <v>0</v>
      </c>
      <c r="P14" s="5"/>
    </row>
    <row r="15" customFormat="false" ht="15" hidden="false" customHeight="false" outlineLevel="0" collapsed="false">
      <c r="A15" s="5" t="s">
        <v>158</v>
      </c>
      <c r="B15" s="19" t="s">
        <v>159</v>
      </c>
      <c r="C15" s="20" t="n">
        <v>2200</v>
      </c>
      <c r="D15" s="21" t="n">
        <v>12</v>
      </c>
      <c r="E15" s="22" t="n">
        <v>0.2</v>
      </c>
      <c r="F15" s="20" t="n">
        <v>1943</v>
      </c>
      <c r="G15" s="20" t="n">
        <v>257</v>
      </c>
      <c r="H15" s="23"/>
      <c r="I15" s="23"/>
      <c r="J15" s="23"/>
      <c r="K15" s="20" t="n">
        <v>257</v>
      </c>
      <c r="L15" s="23" t="n">
        <f aca="false">C15+H15+I15</f>
        <v>2200</v>
      </c>
      <c r="M15" s="23" t="n">
        <f aca="false">F15+J15+K15</f>
        <v>2200</v>
      </c>
      <c r="N15" s="23" t="n">
        <f aca="false">L15-M15</f>
        <v>0</v>
      </c>
      <c r="O15" s="20" t="n">
        <v>0</v>
      </c>
      <c r="P15" s="5"/>
    </row>
    <row r="16" customFormat="false" ht="15" hidden="false" customHeight="false" outlineLevel="0" collapsed="false">
      <c r="A16" s="5" t="s">
        <v>160</v>
      </c>
      <c r="B16" s="19" t="s">
        <v>161</v>
      </c>
      <c r="C16" s="20" t="n">
        <v>630</v>
      </c>
      <c r="D16" s="21" t="n">
        <v>12</v>
      </c>
      <c r="E16" s="22" t="n">
        <v>0.2</v>
      </c>
      <c r="F16" s="20" t="n">
        <v>536</v>
      </c>
      <c r="G16" s="20" t="n">
        <v>94</v>
      </c>
      <c r="H16" s="23"/>
      <c r="I16" s="23"/>
      <c r="J16" s="23"/>
      <c r="K16" s="20" t="n">
        <v>94</v>
      </c>
      <c r="L16" s="23" t="n">
        <f aca="false">C16+H16+I16</f>
        <v>630</v>
      </c>
      <c r="M16" s="23" t="n">
        <f aca="false">F16+J16+K16</f>
        <v>630</v>
      </c>
      <c r="N16" s="23" t="n">
        <f aca="false">L16-M16</f>
        <v>0</v>
      </c>
      <c r="O16" s="20" t="n">
        <v>0</v>
      </c>
      <c r="P16" s="5"/>
    </row>
    <row r="17" customFormat="false" ht="15" hidden="false" customHeight="false" outlineLevel="0" collapsed="false">
      <c r="A17" s="5" t="s">
        <v>162</v>
      </c>
      <c r="B17" s="19" t="s">
        <v>163</v>
      </c>
      <c r="C17" s="20" t="n">
        <v>770</v>
      </c>
      <c r="D17" s="21" t="n">
        <v>12</v>
      </c>
      <c r="E17" s="22" t="n">
        <v>0.2</v>
      </c>
      <c r="F17" s="20" t="n">
        <v>590</v>
      </c>
      <c r="G17" s="20" t="n">
        <v>180</v>
      </c>
      <c r="H17" s="23"/>
      <c r="I17" s="23"/>
      <c r="J17" s="23"/>
      <c r="K17" s="20" t="n">
        <v>154</v>
      </c>
      <c r="L17" s="23" t="n">
        <f aca="false">C17+H17+I17</f>
        <v>770</v>
      </c>
      <c r="M17" s="23" t="n">
        <f aca="false">F17+J17+K17</f>
        <v>744</v>
      </c>
      <c r="N17" s="23" t="n">
        <f aca="false">L17-M17</f>
        <v>26</v>
      </c>
      <c r="O17" s="20" t="n">
        <v>0</v>
      </c>
      <c r="P17" s="5"/>
    </row>
    <row r="18" customFormat="false" ht="15" hidden="false" customHeight="false" outlineLevel="0" collapsed="false">
      <c r="A18" s="5" t="s">
        <v>164</v>
      </c>
      <c r="B18" s="19" t="s">
        <v>165</v>
      </c>
      <c r="C18" s="20" t="n">
        <v>2630</v>
      </c>
      <c r="D18" s="21" t="n">
        <v>12</v>
      </c>
      <c r="E18" s="22" t="n">
        <v>0.2</v>
      </c>
      <c r="F18" s="20" t="n">
        <v>1534</v>
      </c>
      <c r="G18" s="20" t="n">
        <v>1096</v>
      </c>
      <c r="H18" s="23"/>
      <c r="I18" s="23"/>
      <c r="J18" s="23"/>
      <c r="K18" s="20" t="n">
        <v>526</v>
      </c>
      <c r="L18" s="23" t="n">
        <f aca="false">C18+H18+I18</f>
        <v>2630</v>
      </c>
      <c r="M18" s="23" t="n">
        <f aca="false">F18+J18+K18</f>
        <v>2060</v>
      </c>
      <c r="N18" s="23" t="n">
        <f aca="false">L18-M18</f>
        <v>570</v>
      </c>
      <c r="O18" s="20" t="n">
        <v>0</v>
      </c>
      <c r="P18" s="5"/>
    </row>
    <row r="19" customFormat="false" ht="15" hidden="false" customHeight="false" outlineLevel="0" collapsed="false">
      <c r="A19" s="5" t="s">
        <v>166</v>
      </c>
      <c r="B19" s="19" t="s">
        <v>167</v>
      </c>
      <c r="C19" s="20" t="n">
        <v>703</v>
      </c>
      <c r="D19" s="21" t="n">
        <v>12</v>
      </c>
      <c r="E19" s="22" t="n">
        <v>0.2</v>
      </c>
      <c r="F19" s="20" t="n">
        <v>399</v>
      </c>
      <c r="G19" s="20" t="n">
        <v>304</v>
      </c>
      <c r="H19" s="23"/>
      <c r="I19" s="23"/>
      <c r="J19" s="23"/>
      <c r="K19" s="20" t="n">
        <v>141</v>
      </c>
      <c r="L19" s="23" t="n">
        <f aca="false">C19+H19+I19</f>
        <v>703</v>
      </c>
      <c r="M19" s="23" t="n">
        <f aca="false">F19+J19+K19</f>
        <v>540</v>
      </c>
      <c r="N19" s="23" t="n">
        <f aca="false">L19-M19</f>
        <v>163</v>
      </c>
      <c r="O19" s="20" t="n">
        <v>0</v>
      </c>
      <c r="P19" s="5"/>
    </row>
    <row r="20" customFormat="false" ht="15" hidden="false" customHeight="false" outlineLevel="0" collapsed="false">
      <c r="A20" s="5" t="s">
        <v>168</v>
      </c>
      <c r="B20" s="19" t="s">
        <v>169</v>
      </c>
      <c r="C20" s="20" t="n">
        <v>591</v>
      </c>
      <c r="D20" s="21" t="n">
        <v>12</v>
      </c>
      <c r="E20" s="22" t="n">
        <v>0.2</v>
      </c>
      <c r="F20" s="20" t="n">
        <v>325</v>
      </c>
      <c r="G20" s="20" t="n">
        <v>266</v>
      </c>
      <c r="H20" s="23"/>
      <c r="I20" s="23"/>
      <c r="J20" s="23"/>
      <c r="K20" s="20" t="n">
        <v>118</v>
      </c>
      <c r="L20" s="23" t="n">
        <f aca="false">C20+H20+I20</f>
        <v>591</v>
      </c>
      <c r="M20" s="23" t="n">
        <f aca="false">F20+J20+K20</f>
        <v>443</v>
      </c>
      <c r="N20" s="23" t="n">
        <f aca="false">L20-M20</f>
        <v>148</v>
      </c>
      <c r="O20" s="20" t="n">
        <v>0</v>
      </c>
      <c r="P20" s="5"/>
    </row>
    <row r="21" customFormat="false" ht="15" hidden="false" customHeight="false" outlineLevel="0" collapsed="false">
      <c r="A21" s="5" t="s">
        <v>170</v>
      </c>
      <c r="B21" s="19" t="s">
        <v>171</v>
      </c>
      <c r="C21" s="20" t="n">
        <v>460</v>
      </c>
      <c r="D21" s="21" t="n">
        <v>8</v>
      </c>
      <c r="E21" s="22" t="n">
        <v>0.2</v>
      </c>
      <c r="F21" s="20" t="n">
        <v>199</v>
      </c>
      <c r="G21" s="20" t="n">
        <v>261</v>
      </c>
      <c r="H21" s="23"/>
      <c r="I21" s="20" t="n">
        <v>-460</v>
      </c>
      <c r="J21" s="20" t="n">
        <v>-260</v>
      </c>
      <c r="K21" s="20" t="n">
        <v>61</v>
      </c>
      <c r="L21" s="23" t="n">
        <f aca="false">C21+H21+I21</f>
        <v>0</v>
      </c>
      <c r="M21" s="23" t="n">
        <f aca="false">F21+J21+K21</f>
        <v>0</v>
      </c>
      <c r="N21" s="23" t="n">
        <f aca="false">L21-M21</f>
        <v>0</v>
      </c>
      <c r="O21" s="20" t="n">
        <v>0</v>
      </c>
      <c r="P21" s="5"/>
    </row>
    <row r="23" customFormat="false" ht="15" hidden="false" customHeight="false" outlineLevel="0" collapsed="false">
      <c r="A23" s="7" t="s">
        <v>129</v>
      </c>
      <c r="B23" s="9"/>
      <c r="C23" s="8" t="n">
        <f aca="false">SUM(C5:C21)</f>
        <v>17963</v>
      </c>
      <c r="D23" s="9"/>
      <c r="E23" s="9"/>
      <c r="F23" s="8" t="n">
        <f aca="false">SUM(F5:F21)</f>
        <v>15083</v>
      </c>
      <c r="G23" s="8" t="n">
        <f aca="false">SUM(G5:G21)</f>
        <v>2880</v>
      </c>
      <c r="H23" s="8" t="n">
        <f aca="false">SUM(H5:H21)</f>
        <v>0</v>
      </c>
      <c r="I23" s="8" t="n">
        <f aca="false">SUM(I5:I21)</f>
        <v>-8997</v>
      </c>
      <c r="J23" s="8" t="n">
        <f aca="false">SUM(J5:J21)</f>
        <v>-8797</v>
      </c>
      <c r="K23" s="8" t="n">
        <f aca="false">SUM(K5:K21)</f>
        <v>1773</v>
      </c>
      <c r="L23" s="8" t="n">
        <f aca="false">SUM(L5:L21)</f>
        <v>8966</v>
      </c>
      <c r="M23" s="8" t="n">
        <f aca="false">SUM(M5:M21)</f>
        <v>8059</v>
      </c>
      <c r="N23" s="8" t="n">
        <f aca="false">SUM(N5:N21)</f>
        <v>907</v>
      </c>
      <c r="O23" s="8" t="n">
        <f aca="false">SUM(O5:O21)</f>
        <v>0</v>
      </c>
    </row>
    <row r="24" customFormat="false" ht="15" hidden="false" customHeight="false" outlineLevel="0" collapsed="false">
      <c r="A24" s="24" t="s">
        <v>130</v>
      </c>
      <c r="C24" s="20" t="n">
        <v>17963</v>
      </c>
      <c r="F24" s="20" t="n">
        <v>15083</v>
      </c>
      <c r="G24" s="20" t="n">
        <v>2880</v>
      </c>
      <c r="H24" s="20" t="n">
        <v>0</v>
      </c>
      <c r="I24" s="20" t="n">
        <v>-8997</v>
      </c>
      <c r="J24" s="20" t="n">
        <v>-8797</v>
      </c>
      <c r="K24" s="20" t="n">
        <v>1773</v>
      </c>
      <c r="L24" s="20" t="n">
        <v>8966</v>
      </c>
      <c r="M24" s="20" t="n">
        <v>8059</v>
      </c>
      <c r="N24" s="20" t="n">
        <v>907</v>
      </c>
      <c r="O24" s="20" t="n">
        <v>0</v>
      </c>
    </row>
    <row r="25" customFormat="false" ht="15" hidden="false" customHeight="false" outlineLevel="0" collapsed="false">
      <c r="A25" s="24" t="s">
        <v>131</v>
      </c>
      <c r="C25" s="23" t="n">
        <f aca="false">C23-C24</f>
        <v>0</v>
      </c>
      <c r="F25" s="23" t="n">
        <f aca="false">F23-F24</f>
        <v>0</v>
      </c>
      <c r="G25" s="23" t="n">
        <f aca="false">G23-G24</f>
        <v>0</v>
      </c>
      <c r="H25" s="23" t="n">
        <f aca="false">H23-H24</f>
        <v>0</v>
      </c>
      <c r="I25" s="23" t="n">
        <f aca="false">I23-I24</f>
        <v>0</v>
      </c>
      <c r="J25" s="23" t="n">
        <f aca="false">J23-J24</f>
        <v>0</v>
      </c>
      <c r="K25" s="23" t="n">
        <f aca="false">K23-K24</f>
        <v>0</v>
      </c>
      <c r="L25" s="23" t="n">
        <f aca="false">L23-L24</f>
        <v>0</v>
      </c>
      <c r="M25" s="23" t="n">
        <f aca="false">M23-M24</f>
        <v>0</v>
      </c>
      <c r="N25" s="23" t="n">
        <f aca="false">N23-N24</f>
        <v>0</v>
      </c>
      <c r="O25" s="23" t="n">
        <f aca="false">O23-O24</f>
        <v>0</v>
      </c>
    </row>
    <row r="27" customFormat="false" ht="15" hidden="false" customHeight="false" outlineLevel="0" collapsed="false">
      <c r="A27" s="2" t="s">
        <v>172</v>
      </c>
    </row>
    <row r="28" customFormat="false" ht="15" hidden="false" customHeight="false" outlineLevel="0" collapsed="false">
      <c r="A28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2" min="9" style="0" width="13"/>
    <col collapsed="false" customWidth="true" hidden="false" outlineLevel="0" max="13" min="13" style="0" width="36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31.5" hidden="false" customHeight="true" outlineLevel="0" collapsed="false">
      <c r="A4" s="4" t="s">
        <v>44</v>
      </c>
      <c r="B4" s="4" t="s">
        <v>45</v>
      </c>
      <c r="C4" s="4" t="s">
        <v>4</v>
      </c>
      <c r="D4" s="4" t="s">
        <v>46</v>
      </c>
      <c r="E4" s="4" t="s">
        <v>47</v>
      </c>
      <c r="F4" s="4" t="s">
        <v>48</v>
      </c>
      <c r="G4" s="4" t="s">
        <v>5</v>
      </c>
      <c r="H4" s="4" t="s">
        <v>6</v>
      </c>
      <c r="I4" s="4" t="s">
        <v>49</v>
      </c>
      <c r="J4" s="4" t="s">
        <v>8</v>
      </c>
      <c r="K4" s="4" t="s">
        <v>50</v>
      </c>
      <c r="L4" s="4" t="s">
        <v>9</v>
      </c>
      <c r="M4" s="4" t="s">
        <v>52</v>
      </c>
      <c r="N4" s="4" t="s">
        <v>53</v>
      </c>
    </row>
    <row r="5" customFormat="false" ht="15" hidden="false" customHeight="false" outlineLevel="0" collapsed="false">
      <c r="A5" s="5" t="s">
        <v>176</v>
      </c>
      <c r="B5" s="19" t="s">
        <v>177</v>
      </c>
      <c r="C5" s="20" t="n">
        <v>726</v>
      </c>
      <c r="D5" s="21" t="n">
        <v>6</v>
      </c>
      <c r="E5" s="22" t="n">
        <v>0.2</v>
      </c>
      <c r="F5" s="20" t="n">
        <v>726</v>
      </c>
      <c r="G5" s="20" t="n">
        <v>0</v>
      </c>
      <c r="H5" s="23"/>
      <c r="I5" s="20" t="n">
        <v>0</v>
      </c>
      <c r="J5" s="23" t="n">
        <f aca="false">C5+H5</f>
        <v>726</v>
      </c>
      <c r="K5" s="23" t="n">
        <f aca="false">F5+I5</f>
        <v>726</v>
      </c>
      <c r="L5" s="23" t="n">
        <f aca="false">J5-K5</f>
        <v>0</v>
      </c>
      <c r="M5" s="5" t="s">
        <v>178</v>
      </c>
      <c r="N5" s="5"/>
    </row>
    <row r="6" customFormat="false" ht="15" hidden="false" customHeight="false" outlineLevel="0" collapsed="false">
      <c r="A6" s="5" t="s">
        <v>179</v>
      </c>
      <c r="B6" s="19" t="s">
        <v>180</v>
      </c>
      <c r="C6" s="20" t="n">
        <v>2199</v>
      </c>
      <c r="D6" s="21" t="n">
        <v>12</v>
      </c>
      <c r="E6" s="22" t="n">
        <v>0.2</v>
      </c>
      <c r="F6" s="20" t="n">
        <v>2199</v>
      </c>
      <c r="G6" s="20" t="n">
        <v>0</v>
      </c>
      <c r="H6" s="23"/>
      <c r="I6" s="20" t="n">
        <v>0</v>
      </c>
      <c r="J6" s="23" t="n">
        <f aca="false">C6+H6</f>
        <v>2199</v>
      </c>
      <c r="K6" s="23" t="n">
        <f aca="false">F6+I6</f>
        <v>2199</v>
      </c>
      <c r="L6" s="23" t="n">
        <f aca="false">J6-K6</f>
        <v>0</v>
      </c>
      <c r="M6" s="5" t="s">
        <v>181</v>
      </c>
      <c r="N6" s="5"/>
    </row>
    <row r="7" customFormat="false" ht="15" hidden="false" customHeight="false" outlineLevel="0" collapsed="false">
      <c r="A7" s="5" t="s">
        <v>182</v>
      </c>
      <c r="B7" s="19" t="s">
        <v>183</v>
      </c>
      <c r="C7" s="20" t="n">
        <v>582</v>
      </c>
      <c r="D7" s="21" t="n">
        <v>1</v>
      </c>
      <c r="E7" s="22" t="n">
        <v>0.2</v>
      </c>
      <c r="F7" s="20" t="n">
        <v>582</v>
      </c>
      <c r="G7" s="20" t="n">
        <v>0</v>
      </c>
      <c r="H7" s="23"/>
      <c r="I7" s="20" t="n">
        <v>0</v>
      </c>
      <c r="J7" s="23" t="n">
        <f aca="false">C7+H7</f>
        <v>582</v>
      </c>
      <c r="K7" s="23" t="n">
        <f aca="false">F7+I7</f>
        <v>582</v>
      </c>
      <c r="L7" s="23" t="n">
        <f aca="false">J7-K7</f>
        <v>0</v>
      </c>
      <c r="M7" s="5" t="s">
        <v>184</v>
      </c>
      <c r="N7" s="5"/>
    </row>
    <row r="8" customFormat="false" ht="15" hidden="false" customHeight="false" outlineLevel="0" collapsed="false">
      <c r="A8" s="5" t="s">
        <v>185</v>
      </c>
      <c r="B8" s="19" t="s">
        <v>186</v>
      </c>
      <c r="C8" s="20" t="n">
        <v>1146</v>
      </c>
      <c r="D8" s="21" t="n">
        <v>11</v>
      </c>
      <c r="E8" s="22" t="n">
        <v>0.2</v>
      </c>
      <c r="F8" s="20" t="n">
        <v>1146</v>
      </c>
      <c r="G8" s="20" t="n">
        <v>0</v>
      </c>
      <c r="H8" s="23"/>
      <c r="I8" s="20" t="n">
        <v>0</v>
      </c>
      <c r="J8" s="23" t="n">
        <f aca="false">C8+H8</f>
        <v>1146</v>
      </c>
      <c r="K8" s="23" t="n">
        <f aca="false">F8+I8</f>
        <v>1146</v>
      </c>
      <c r="L8" s="23" t="n">
        <f aca="false">J8-K8</f>
        <v>0</v>
      </c>
      <c r="M8" s="5" t="s">
        <v>94</v>
      </c>
      <c r="N8" s="5"/>
    </row>
    <row r="9" customFormat="false" ht="15" hidden="false" customHeight="false" outlineLevel="0" collapsed="false">
      <c r="A9" s="5" t="s">
        <v>187</v>
      </c>
      <c r="B9" s="19" t="s">
        <v>188</v>
      </c>
      <c r="C9" s="20" t="n">
        <v>21600</v>
      </c>
      <c r="D9" s="21" t="n">
        <v>12</v>
      </c>
      <c r="E9" s="22" t="n">
        <v>0.2</v>
      </c>
      <c r="F9" s="20" t="n">
        <v>21600</v>
      </c>
      <c r="G9" s="20" t="n">
        <v>0</v>
      </c>
      <c r="H9" s="23"/>
      <c r="I9" s="20" t="n">
        <v>0</v>
      </c>
      <c r="J9" s="23" t="n">
        <f aca="false">C9+H9</f>
        <v>21600</v>
      </c>
      <c r="K9" s="23" t="n">
        <f aca="false">F9+I9</f>
        <v>21600</v>
      </c>
      <c r="L9" s="23" t="n">
        <f aca="false">J9-K9</f>
        <v>0</v>
      </c>
      <c r="M9" s="5" t="s">
        <v>189</v>
      </c>
      <c r="N9" s="5"/>
    </row>
    <row r="10" customFormat="false" ht="15" hidden="false" customHeight="false" outlineLevel="0" collapsed="false">
      <c r="A10" s="5" t="s">
        <v>190</v>
      </c>
      <c r="B10" s="19" t="s">
        <v>191</v>
      </c>
      <c r="C10" s="20" t="n">
        <v>2002</v>
      </c>
      <c r="D10" s="21" t="n">
        <v>1</v>
      </c>
      <c r="E10" s="22" t="n">
        <v>0.2</v>
      </c>
      <c r="F10" s="20" t="n">
        <v>1934</v>
      </c>
      <c r="G10" s="20" t="n">
        <v>68</v>
      </c>
      <c r="H10" s="23"/>
      <c r="I10" s="20" t="n">
        <v>68</v>
      </c>
      <c r="J10" s="23" t="n">
        <f aca="false">C10+H10</f>
        <v>2002</v>
      </c>
      <c r="K10" s="23" t="n">
        <f aca="false">F10+I10</f>
        <v>2002</v>
      </c>
      <c r="L10" s="23" t="n">
        <f aca="false">J10-K10</f>
        <v>0</v>
      </c>
      <c r="M10" s="5" t="s">
        <v>192</v>
      </c>
      <c r="N10" s="5" t="s">
        <v>193</v>
      </c>
    </row>
    <row r="11" customFormat="false" ht="15" hidden="false" customHeight="false" outlineLevel="0" collapsed="false">
      <c r="A11" s="5" t="s">
        <v>194</v>
      </c>
      <c r="B11" s="19" t="s">
        <v>195</v>
      </c>
      <c r="C11" s="20" t="n">
        <v>536</v>
      </c>
      <c r="D11" s="21" t="n">
        <v>5</v>
      </c>
      <c r="E11" s="22" t="n">
        <v>0.2</v>
      </c>
      <c r="F11" s="20" t="n">
        <v>491</v>
      </c>
      <c r="G11" s="20" t="n">
        <v>45</v>
      </c>
      <c r="H11" s="23"/>
      <c r="I11" s="20" t="n">
        <v>45</v>
      </c>
      <c r="J11" s="23" t="n">
        <f aca="false">C11+H11</f>
        <v>536</v>
      </c>
      <c r="K11" s="23" t="n">
        <f aca="false">F11+I11</f>
        <v>536</v>
      </c>
      <c r="L11" s="23" t="n">
        <f aca="false">J11-K11</f>
        <v>0</v>
      </c>
      <c r="M11" s="5" t="s">
        <v>196</v>
      </c>
      <c r="N11" s="5" t="s">
        <v>193</v>
      </c>
    </row>
    <row r="12" customFormat="false" ht="15" hidden="false" customHeight="false" outlineLevel="0" collapsed="false">
      <c r="A12" s="5" t="s">
        <v>197</v>
      </c>
      <c r="B12" s="19" t="s">
        <v>198</v>
      </c>
      <c r="C12" s="20" t="n">
        <v>820</v>
      </c>
      <c r="D12" s="21" t="n">
        <v>5</v>
      </c>
      <c r="E12" s="22" t="n">
        <v>0.2</v>
      </c>
      <c r="F12" s="20" t="n">
        <v>752</v>
      </c>
      <c r="G12" s="20" t="n">
        <v>68</v>
      </c>
      <c r="H12" s="23"/>
      <c r="I12" s="20" t="n">
        <v>68</v>
      </c>
      <c r="J12" s="23" t="n">
        <f aca="false">C12+H12</f>
        <v>820</v>
      </c>
      <c r="K12" s="23" t="n">
        <f aca="false">F12+I12</f>
        <v>820</v>
      </c>
      <c r="L12" s="23" t="n">
        <f aca="false">J12-K12</f>
        <v>0</v>
      </c>
      <c r="M12" s="5" t="s">
        <v>199</v>
      </c>
      <c r="N12" s="5" t="s">
        <v>193</v>
      </c>
    </row>
    <row r="13" customFormat="false" ht="15" hidden="false" customHeight="false" outlineLevel="0" collapsed="false">
      <c r="A13" s="5" t="s">
        <v>200</v>
      </c>
      <c r="B13" s="19" t="s">
        <v>201</v>
      </c>
      <c r="C13" s="20" t="n">
        <v>1040</v>
      </c>
      <c r="D13" s="21" t="n">
        <v>7</v>
      </c>
      <c r="E13" s="22" t="n">
        <v>0.2</v>
      </c>
      <c r="F13" s="20" t="n">
        <v>919</v>
      </c>
      <c r="G13" s="20" t="n">
        <v>121</v>
      </c>
      <c r="H13" s="23"/>
      <c r="I13" s="20" t="n">
        <v>121</v>
      </c>
      <c r="J13" s="23" t="n">
        <f aca="false">C13+H13</f>
        <v>1040</v>
      </c>
      <c r="K13" s="23" t="n">
        <f aca="false">F13+I13</f>
        <v>1040</v>
      </c>
      <c r="L13" s="23" t="n">
        <f aca="false">J13-K13</f>
        <v>0</v>
      </c>
      <c r="M13" s="5" t="s">
        <v>202</v>
      </c>
      <c r="N13" s="5" t="s">
        <v>193</v>
      </c>
    </row>
    <row r="14" customFormat="false" ht="15" hidden="false" customHeight="false" outlineLevel="0" collapsed="false">
      <c r="A14" s="5" t="s">
        <v>203</v>
      </c>
      <c r="B14" s="19" t="s">
        <v>204</v>
      </c>
      <c r="C14" s="20" t="n">
        <v>596</v>
      </c>
      <c r="D14" s="21" t="n">
        <v>7</v>
      </c>
      <c r="E14" s="22" t="n">
        <v>0.2</v>
      </c>
      <c r="F14" s="20" t="n">
        <v>526</v>
      </c>
      <c r="G14" s="20" t="n">
        <v>70</v>
      </c>
      <c r="H14" s="23"/>
      <c r="I14" s="20" t="n">
        <v>70</v>
      </c>
      <c r="J14" s="23" t="n">
        <f aca="false">C14+H14</f>
        <v>596</v>
      </c>
      <c r="K14" s="23" t="n">
        <f aca="false">F14+I14</f>
        <v>596</v>
      </c>
      <c r="L14" s="23" t="n">
        <f aca="false">J14-K14</f>
        <v>0</v>
      </c>
      <c r="M14" s="5" t="s">
        <v>205</v>
      </c>
      <c r="N14" s="5" t="s">
        <v>193</v>
      </c>
    </row>
    <row r="15" customFormat="false" ht="15" hidden="false" customHeight="false" outlineLevel="0" collapsed="false">
      <c r="A15" s="5" t="s">
        <v>206</v>
      </c>
      <c r="B15" s="19" t="s">
        <v>207</v>
      </c>
      <c r="C15" s="20" t="n">
        <v>704</v>
      </c>
      <c r="D15" s="21" t="n">
        <v>8</v>
      </c>
      <c r="E15" s="22" t="n">
        <v>0.2</v>
      </c>
      <c r="F15" s="20" t="n">
        <v>611</v>
      </c>
      <c r="G15" s="20" t="n">
        <v>93</v>
      </c>
      <c r="H15" s="23"/>
      <c r="I15" s="20" t="n">
        <v>93</v>
      </c>
      <c r="J15" s="23" t="n">
        <f aca="false">C15+H15</f>
        <v>704</v>
      </c>
      <c r="K15" s="23" t="n">
        <f aca="false">F15+I15</f>
        <v>704</v>
      </c>
      <c r="L15" s="23" t="n">
        <f aca="false">J15-K15</f>
        <v>0</v>
      </c>
      <c r="M15" s="5" t="s">
        <v>202</v>
      </c>
      <c r="N15" s="5" t="s">
        <v>193</v>
      </c>
    </row>
    <row r="16" customFormat="false" ht="15" hidden="false" customHeight="false" outlineLevel="0" collapsed="false">
      <c r="A16" s="5" t="s">
        <v>208</v>
      </c>
      <c r="B16" s="19" t="s">
        <v>209</v>
      </c>
      <c r="C16" s="20" t="n">
        <v>495</v>
      </c>
      <c r="D16" s="21" t="n">
        <v>8</v>
      </c>
      <c r="E16" s="22" t="n">
        <v>0.2</v>
      </c>
      <c r="F16" s="20" t="n">
        <v>429</v>
      </c>
      <c r="G16" s="20" t="n">
        <v>66</v>
      </c>
      <c r="H16" s="23"/>
      <c r="I16" s="20" t="n">
        <v>66</v>
      </c>
      <c r="J16" s="23" t="n">
        <f aca="false">C16+H16</f>
        <v>495</v>
      </c>
      <c r="K16" s="23" t="n">
        <f aca="false">F16+I16</f>
        <v>495</v>
      </c>
      <c r="L16" s="23" t="n">
        <f aca="false">J16-K16</f>
        <v>0</v>
      </c>
      <c r="M16" s="5" t="s">
        <v>210</v>
      </c>
      <c r="N16" s="5" t="s">
        <v>193</v>
      </c>
    </row>
    <row r="17" customFormat="false" ht="15" hidden="false" customHeight="false" outlineLevel="0" collapsed="false">
      <c r="A17" s="5" t="s">
        <v>211</v>
      </c>
      <c r="B17" s="19" t="s">
        <v>212</v>
      </c>
      <c r="C17" s="20" t="n">
        <v>495</v>
      </c>
      <c r="D17" s="21" t="n">
        <v>10</v>
      </c>
      <c r="E17" s="22" t="n">
        <v>0.2</v>
      </c>
      <c r="F17" s="20" t="n">
        <v>413</v>
      </c>
      <c r="G17" s="20" t="n">
        <v>82</v>
      </c>
      <c r="H17" s="23"/>
      <c r="I17" s="20" t="n">
        <v>82</v>
      </c>
      <c r="J17" s="23" t="n">
        <f aca="false">C17+H17</f>
        <v>495</v>
      </c>
      <c r="K17" s="23" t="n">
        <f aca="false">F17+I17</f>
        <v>495</v>
      </c>
      <c r="L17" s="23" t="n">
        <f aca="false">J17-K17</f>
        <v>0</v>
      </c>
      <c r="M17" s="5" t="s">
        <v>213</v>
      </c>
      <c r="N17" s="5" t="s">
        <v>193</v>
      </c>
    </row>
    <row r="18" customFormat="false" ht="15" hidden="false" customHeight="false" outlineLevel="0" collapsed="false">
      <c r="A18" s="5" t="s">
        <v>214</v>
      </c>
      <c r="B18" s="19" t="s">
        <v>215</v>
      </c>
      <c r="C18" s="20" t="n">
        <v>607</v>
      </c>
      <c r="D18" s="21" t="n">
        <v>12</v>
      </c>
      <c r="E18" s="22" t="n">
        <v>0.2</v>
      </c>
      <c r="F18" s="20" t="n">
        <v>464</v>
      </c>
      <c r="G18" s="20" t="n">
        <v>143</v>
      </c>
      <c r="H18" s="23"/>
      <c r="I18" s="20" t="n">
        <v>121</v>
      </c>
      <c r="J18" s="23" t="n">
        <f aca="false">C18+H18</f>
        <v>607</v>
      </c>
      <c r="K18" s="23" t="n">
        <f aca="false">F18+I18</f>
        <v>585</v>
      </c>
      <c r="L18" s="23" t="n">
        <f aca="false">J18-K18</f>
        <v>22</v>
      </c>
      <c r="M18" s="5" t="s">
        <v>216</v>
      </c>
      <c r="N18" s="5"/>
    </row>
    <row r="19" customFormat="false" ht="15" hidden="false" customHeight="false" outlineLevel="0" collapsed="false">
      <c r="A19" s="5" t="s">
        <v>217</v>
      </c>
      <c r="B19" s="19" t="s">
        <v>218</v>
      </c>
      <c r="C19" s="20" t="n">
        <v>641</v>
      </c>
      <c r="D19" s="21" t="n">
        <v>12</v>
      </c>
      <c r="E19" s="22" t="n">
        <v>0.2</v>
      </c>
      <c r="F19" s="20" t="n">
        <v>437</v>
      </c>
      <c r="G19" s="20" t="n">
        <v>204</v>
      </c>
      <c r="H19" s="23"/>
      <c r="I19" s="20" t="n">
        <v>128</v>
      </c>
      <c r="J19" s="23" t="n">
        <f aca="false">C19+H19</f>
        <v>641</v>
      </c>
      <c r="K19" s="23" t="n">
        <f aca="false">F19+I19</f>
        <v>565</v>
      </c>
      <c r="L19" s="23" t="n">
        <f aca="false">J19-K19</f>
        <v>76</v>
      </c>
      <c r="M19" s="5" t="s">
        <v>219</v>
      </c>
      <c r="N19" s="5"/>
    </row>
    <row r="20" customFormat="false" ht="15" hidden="false" customHeight="false" outlineLevel="0" collapsed="false">
      <c r="A20" s="5" t="s">
        <v>220</v>
      </c>
      <c r="B20" s="19" t="s">
        <v>221</v>
      </c>
      <c r="C20" s="20" t="n">
        <v>727</v>
      </c>
      <c r="D20" s="21" t="n">
        <v>12</v>
      </c>
      <c r="E20" s="22" t="n">
        <v>0.2</v>
      </c>
      <c r="F20" s="20" t="n">
        <v>496</v>
      </c>
      <c r="G20" s="20" t="n">
        <v>231</v>
      </c>
      <c r="H20" s="23"/>
      <c r="I20" s="20" t="n">
        <v>145</v>
      </c>
      <c r="J20" s="23" t="n">
        <f aca="false">C20+H20</f>
        <v>727</v>
      </c>
      <c r="K20" s="23" t="n">
        <f aca="false">F20+I20</f>
        <v>641</v>
      </c>
      <c r="L20" s="23" t="n">
        <f aca="false">J20-K20</f>
        <v>86</v>
      </c>
      <c r="M20" s="5" t="s">
        <v>222</v>
      </c>
      <c r="N20" s="5"/>
    </row>
    <row r="21" customFormat="false" ht="15" hidden="false" customHeight="false" outlineLevel="0" collapsed="false">
      <c r="A21" s="5" t="s">
        <v>223</v>
      </c>
      <c r="B21" s="19" t="s">
        <v>224</v>
      </c>
      <c r="C21" s="20" t="n">
        <v>536</v>
      </c>
      <c r="D21" s="21" t="n">
        <v>12</v>
      </c>
      <c r="E21" s="22" t="n">
        <v>0.2</v>
      </c>
      <c r="F21" s="20" t="n">
        <v>357</v>
      </c>
      <c r="G21" s="20" t="n">
        <v>179</v>
      </c>
      <c r="H21" s="23"/>
      <c r="I21" s="20" t="n">
        <v>107</v>
      </c>
      <c r="J21" s="23" t="n">
        <f aca="false">C21+H21</f>
        <v>536</v>
      </c>
      <c r="K21" s="23" t="n">
        <f aca="false">F21+I21</f>
        <v>464</v>
      </c>
      <c r="L21" s="23" t="n">
        <f aca="false">J21-K21</f>
        <v>72</v>
      </c>
      <c r="M21" s="5" t="s">
        <v>225</v>
      </c>
      <c r="N21" s="5"/>
    </row>
    <row r="22" customFormat="false" ht="15" hidden="false" customHeight="false" outlineLevel="0" collapsed="false">
      <c r="A22" s="5" t="s">
        <v>226</v>
      </c>
      <c r="B22" s="19" t="s">
        <v>224</v>
      </c>
      <c r="C22" s="20" t="n">
        <v>761</v>
      </c>
      <c r="D22" s="21" t="n">
        <v>12</v>
      </c>
      <c r="E22" s="22" t="n">
        <v>0.2</v>
      </c>
      <c r="F22" s="20" t="n">
        <v>507</v>
      </c>
      <c r="G22" s="20" t="n">
        <v>254</v>
      </c>
      <c r="H22" s="23"/>
      <c r="I22" s="20" t="n">
        <v>152</v>
      </c>
      <c r="J22" s="23" t="n">
        <f aca="false">C22+H22</f>
        <v>761</v>
      </c>
      <c r="K22" s="23" t="n">
        <f aca="false">F22+I22</f>
        <v>659</v>
      </c>
      <c r="L22" s="23" t="n">
        <f aca="false">J22-K22</f>
        <v>102</v>
      </c>
      <c r="M22" s="5" t="s">
        <v>227</v>
      </c>
      <c r="N22" s="5"/>
    </row>
    <row r="23" customFormat="false" ht="15" hidden="false" customHeight="false" outlineLevel="0" collapsed="false">
      <c r="A23" s="5" t="s">
        <v>228</v>
      </c>
      <c r="B23" s="19" t="s">
        <v>229</v>
      </c>
      <c r="C23" s="20" t="n">
        <v>874</v>
      </c>
      <c r="D23" s="21" t="n">
        <v>12</v>
      </c>
      <c r="E23" s="22" t="n">
        <v>0.2</v>
      </c>
      <c r="F23" s="20" t="n">
        <v>510</v>
      </c>
      <c r="G23" s="20" t="n">
        <v>364</v>
      </c>
      <c r="H23" s="23"/>
      <c r="I23" s="20" t="n">
        <v>175</v>
      </c>
      <c r="J23" s="23" t="n">
        <f aca="false">C23+H23</f>
        <v>874</v>
      </c>
      <c r="K23" s="23" t="n">
        <f aca="false">F23+I23</f>
        <v>685</v>
      </c>
      <c r="L23" s="23" t="n">
        <f aca="false">J23-K23</f>
        <v>189</v>
      </c>
      <c r="M23" s="5" t="s">
        <v>230</v>
      </c>
      <c r="N23" s="5"/>
    </row>
    <row r="24" customFormat="false" ht="15" hidden="false" customHeight="false" outlineLevel="0" collapsed="false">
      <c r="A24" s="5" t="s">
        <v>231</v>
      </c>
      <c r="B24" s="19" t="s">
        <v>232</v>
      </c>
      <c r="C24" s="20" t="n">
        <v>1150</v>
      </c>
      <c r="D24" s="21" t="n">
        <v>12</v>
      </c>
      <c r="E24" s="22" t="n">
        <v>0.2</v>
      </c>
      <c r="F24" s="20" t="n">
        <v>652</v>
      </c>
      <c r="G24" s="20" t="n">
        <v>498</v>
      </c>
      <c r="H24" s="23"/>
      <c r="I24" s="20" t="n">
        <v>230</v>
      </c>
      <c r="J24" s="23" t="n">
        <f aca="false">C24+H24</f>
        <v>1150</v>
      </c>
      <c r="K24" s="23" t="n">
        <f aca="false">F24+I24</f>
        <v>882</v>
      </c>
      <c r="L24" s="23" t="n">
        <f aca="false">J24-K24</f>
        <v>268</v>
      </c>
      <c r="M24" s="5" t="s">
        <v>233</v>
      </c>
      <c r="N24" s="5" t="s">
        <v>234</v>
      </c>
    </row>
    <row r="25" customFormat="false" ht="15" hidden="false" customHeight="false" outlineLevel="0" collapsed="false">
      <c r="A25" s="5" t="s">
        <v>235</v>
      </c>
      <c r="B25" s="19" t="s">
        <v>236</v>
      </c>
      <c r="C25" s="20" t="n">
        <v>2300</v>
      </c>
      <c r="D25" s="21" t="n">
        <v>12</v>
      </c>
      <c r="E25" s="22" t="n">
        <v>0.2</v>
      </c>
      <c r="F25" s="20" t="n">
        <v>1265</v>
      </c>
      <c r="G25" s="20" t="n">
        <v>1035</v>
      </c>
      <c r="H25" s="23"/>
      <c r="I25" s="20" t="n">
        <v>460</v>
      </c>
      <c r="J25" s="23" t="n">
        <f aca="false">C25+H25</f>
        <v>2300</v>
      </c>
      <c r="K25" s="23" t="n">
        <f aca="false">F25+I25</f>
        <v>1725</v>
      </c>
      <c r="L25" s="23" t="n">
        <f aca="false">J25-K25</f>
        <v>575</v>
      </c>
      <c r="M25" s="5" t="s">
        <v>237</v>
      </c>
      <c r="N25" s="5" t="s">
        <v>238</v>
      </c>
    </row>
    <row r="26" customFormat="false" ht="15" hidden="false" customHeight="false" outlineLevel="0" collapsed="false">
      <c r="A26" s="5" t="s">
        <v>231</v>
      </c>
      <c r="B26" s="19" t="s">
        <v>239</v>
      </c>
      <c r="C26" s="20" t="n">
        <v>1150</v>
      </c>
      <c r="D26" s="21" t="n">
        <v>12</v>
      </c>
      <c r="E26" s="22" t="n">
        <v>0.2</v>
      </c>
      <c r="F26" s="20" t="n">
        <v>594</v>
      </c>
      <c r="G26" s="20" t="n">
        <v>556</v>
      </c>
      <c r="H26" s="23"/>
      <c r="I26" s="20" t="n">
        <v>230</v>
      </c>
      <c r="J26" s="23" t="n">
        <f aca="false">C26+H26</f>
        <v>1150</v>
      </c>
      <c r="K26" s="23" t="n">
        <f aca="false">F26+I26</f>
        <v>824</v>
      </c>
      <c r="L26" s="23" t="n">
        <f aca="false">J26-K26</f>
        <v>326</v>
      </c>
      <c r="M26" s="5" t="s">
        <v>240</v>
      </c>
      <c r="N26" s="5" t="s">
        <v>234</v>
      </c>
    </row>
    <row r="27" customFormat="false" ht="15" hidden="false" customHeight="false" outlineLevel="0" collapsed="false">
      <c r="A27" s="5" t="s">
        <v>231</v>
      </c>
      <c r="B27" s="19" t="s">
        <v>241</v>
      </c>
      <c r="C27" s="20" t="n">
        <v>1150</v>
      </c>
      <c r="D27" s="21" t="n">
        <v>12</v>
      </c>
      <c r="E27" s="22" t="n">
        <v>0.2</v>
      </c>
      <c r="F27" s="20" t="n">
        <v>594</v>
      </c>
      <c r="G27" s="20" t="n">
        <v>556</v>
      </c>
      <c r="H27" s="23"/>
      <c r="I27" s="20" t="n">
        <v>230</v>
      </c>
      <c r="J27" s="23" t="n">
        <f aca="false">C27+H27</f>
        <v>1150</v>
      </c>
      <c r="K27" s="23" t="n">
        <f aca="false">F27+I27</f>
        <v>824</v>
      </c>
      <c r="L27" s="23" t="n">
        <f aca="false">J27-K27</f>
        <v>326</v>
      </c>
      <c r="M27" s="5" t="s">
        <v>242</v>
      </c>
      <c r="N27" s="5" t="s">
        <v>234</v>
      </c>
    </row>
    <row r="28" customFormat="false" ht="15" hidden="false" customHeight="false" outlineLevel="0" collapsed="false">
      <c r="A28" s="5" t="s">
        <v>231</v>
      </c>
      <c r="B28" s="19" t="s">
        <v>243</v>
      </c>
      <c r="C28" s="20" t="n">
        <v>1150</v>
      </c>
      <c r="D28" s="21" t="n">
        <v>12</v>
      </c>
      <c r="E28" s="22" t="n">
        <v>0.2</v>
      </c>
      <c r="F28" s="20" t="n">
        <v>575</v>
      </c>
      <c r="G28" s="20" t="n">
        <v>575</v>
      </c>
      <c r="H28" s="23"/>
      <c r="I28" s="20" t="n">
        <v>230</v>
      </c>
      <c r="J28" s="23" t="n">
        <f aca="false">C28+H28</f>
        <v>1150</v>
      </c>
      <c r="K28" s="23" t="n">
        <f aca="false">F28+I28</f>
        <v>805</v>
      </c>
      <c r="L28" s="23" t="n">
        <f aca="false">J28-K28</f>
        <v>345</v>
      </c>
      <c r="M28" s="5" t="s">
        <v>244</v>
      </c>
      <c r="N28" s="5" t="s">
        <v>234</v>
      </c>
    </row>
    <row r="29" customFormat="false" ht="15" hidden="false" customHeight="false" outlineLevel="0" collapsed="false">
      <c r="A29" s="5" t="s">
        <v>245</v>
      </c>
      <c r="B29" s="19" t="s">
        <v>246</v>
      </c>
      <c r="C29" s="20" t="n">
        <v>4600</v>
      </c>
      <c r="D29" s="21" t="n">
        <v>12</v>
      </c>
      <c r="E29" s="22" t="n">
        <v>0.2</v>
      </c>
      <c r="F29" s="20" t="n">
        <v>1917</v>
      </c>
      <c r="G29" s="20" t="n">
        <v>2683</v>
      </c>
      <c r="H29" s="23"/>
      <c r="I29" s="20" t="n">
        <v>920</v>
      </c>
      <c r="J29" s="23" t="n">
        <f aca="false">C29+H29</f>
        <v>4600</v>
      </c>
      <c r="K29" s="23" t="n">
        <f aca="false">F29+I29</f>
        <v>2837</v>
      </c>
      <c r="L29" s="23" t="n">
        <f aca="false">J29-K29</f>
        <v>1763</v>
      </c>
      <c r="M29" s="5" t="s">
        <v>247</v>
      </c>
      <c r="N29" s="5"/>
    </row>
    <row r="30" customFormat="false" ht="15" hidden="false" customHeight="false" outlineLevel="0" collapsed="false">
      <c r="A30" s="5" t="s">
        <v>248</v>
      </c>
      <c r="B30" s="19" t="s">
        <v>249</v>
      </c>
      <c r="C30" s="20" t="n">
        <v>644</v>
      </c>
      <c r="D30" s="21" t="n">
        <v>12</v>
      </c>
      <c r="E30" s="22" t="n">
        <v>0.2</v>
      </c>
      <c r="F30" s="20" t="n">
        <v>247</v>
      </c>
      <c r="G30" s="20" t="n">
        <v>397</v>
      </c>
      <c r="H30" s="23"/>
      <c r="I30" s="20" t="n">
        <v>129</v>
      </c>
      <c r="J30" s="23" t="n">
        <f aca="false">C30+H30</f>
        <v>644</v>
      </c>
      <c r="K30" s="23" t="n">
        <f aca="false">F30+I30</f>
        <v>376</v>
      </c>
      <c r="L30" s="23" t="n">
        <f aca="false">J30-K30</f>
        <v>268</v>
      </c>
      <c r="M30" s="5" t="s">
        <v>250</v>
      </c>
      <c r="N30" s="5"/>
    </row>
    <row r="31" customFormat="false" ht="15" hidden="false" customHeight="false" outlineLevel="0" collapsed="false">
      <c r="A31" s="5" t="s">
        <v>251</v>
      </c>
      <c r="B31" s="19" t="s">
        <v>252</v>
      </c>
      <c r="C31" s="20" t="n">
        <v>4455</v>
      </c>
      <c r="D31" s="21" t="n">
        <v>12</v>
      </c>
      <c r="E31" s="22" t="n">
        <v>0.2</v>
      </c>
      <c r="F31" s="20" t="n">
        <v>1559</v>
      </c>
      <c r="G31" s="20" t="n">
        <v>2896</v>
      </c>
      <c r="H31" s="23"/>
      <c r="I31" s="20" t="n">
        <v>891</v>
      </c>
      <c r="J31" s="23" t="n">
        <f aca="false">C31+H31</f>
        <v>4455</v>
      </c>
      <c r="K31" s="23" t="n">
        <f aca="false">F31+I31</f>
        <v>2450</v>
      </c>
      <c r="L31" s="23" t="n">
        <f aca="false">J31-K31</f>
        <v>2005</v>
      </c>
      <c r="M31" s="5" t="s">
        <v>253</v>
      </c>
      <c r="N31" s="5"/>
    </row>
    <row r="32" customFormat="false" ht="15" hidden="false" customHeight="false" outlineLevel="0" collapsed="false">
      <c r="A32" s="5" t="s">
        <v>254</v>
      </c>
      <c r="B32" s="19" t="s">
        <v>255</v>
      </c>
      <c r="C32" s="20" t="n">
        <v>590</v>
      </c>
      <c r="D32" s="21" t="n">
        <v>12</v>
      </c>
      <c r="E32" s="22" t="n">
        <v>0.2</v>
      </c>
      <c r="F32" s="20" t="n">
        <v>98</v>
      </c>
      <c r="G32" s="20" t="n">
        <v>590</v>
      </c>
      <c r="H32" s="23"/>
      <c r="I32" s="20" t="n">
        <v>118</v>
      </c>
      <c r="J32" s="23" t="n">
        <f aca="false">C32+H32</f>
        <v>590</v>
      </c>
      <c r="K32" s="23" t="n">
        <f aca="false">F32+I32</f>
        <v>216</v>
      </c>
      <c r="L32" s="23" t="n">
        <f aca="false">J32-K32</f>
        <v>374</v>
      </c>
      <c r="M32" s="5" t="s">
        <v>256</v>
      </c>
      <c r="N32" s="5" t="s">
        <v>257</v>
      </c>
    </row>
    <row r="33" customFormat="false" ht="15" hidden="false" customHeight="false" outlineLevel="0" collapsed="false">
      <c r="A33" s="5" t="s">
        <v>258</v>
      </c>
      <c r="B33" s="19" t="s">
        <v>259</v>
      </c>
      <c r="C33" s="20" t="n">
        <v>8850</v>
      </c>
      <c r="D33" s="21" t="n">
        <v>12</v>
      </c>
      <c r="E33" s="22" t="n">
        <v>0.2</v>
      </c>
      <c r="F33" s="20" t="n">
        <v>1475</v>
      </c>
      <c r="G33" s="20" t="n">
        <v>8850</v>
      </c>
      <c r="H33" s="23"/>
      <c r="I33" s="20" t="n">
        <v>1770</v>
      </c>
      <c r="J33" s="23" t="n">
        <f aca="false">C33+H33</f>
        <v>8850</v>
      </c>
      <c r="K33" s="23" t="n">
        <f aca="false">F33+I33</f>
        <v>3245</v>
      </c>
      <c r="L33" s="23" t="n">
        <f aca="false">J33-K33</f>
        <v>5605</v>
      </c>
      <c r="M33" s="5" t="s">
        <v>260</v>
      </c>
      <c r="N33" s="5" t="s">
        <v>261</v>
      </c>
    </row>
    <row r="34" customFormat="false" ht="15" hidden="false" customHeight="false" outlineLevel="0" collapsed="false">
      <c r="A34" s="5" t="s">
        <v>262</v>
      </c>
      <c r="B34" s="19" t="s">
        <v>263</v>
      </c>
      <c r="C34" s="20" t="n">
        <v>1498</v>
      </c>
      <c r="D34" s="21" t="n">
        <v>12</v>
      </c>
      <c r="E34" s="22" t="n">
        <v>0.2</v>
      </c>
      <c r="F34" s="20" t="n">
        <v>225</v>
      </c>
      <c r="G34" s="20" t="n">
        <v>1498</v>
      </c>
      <c r="H34" s="23"/>
      <c r="I34" s="20" t="n">
        <v>300</v>
      </c>
      <c r="J34" s="23" t="n">
        <f aca="false">C34+H34</f>
        <v>1498</v>
      </c>
      <c r="K34" s="23" t="n">
        <f aca="false">F34+I34</f>
        <v>525</v>
      </c>
      <c r="L34" s="23" t="n">
        <f aca="false">J34-K34</f>
        <v>973</v>
      </c>
      <c r="M34" s="5" t="s">
        <v>264</v>
      </c>
      <c r="N34" s="5" t="s">
        <v>265</v>
      </c>
    </row>
    <row r="35" customFormat="false" ht="15" hidden="false" customHeight="false" outlineLevel="0" collapsed="false">
      <c r="A35" s="5" t="s">
        <v>266</v>
      </c>
      <c r="B35" s="19" t="s">
        <v>267</v>
      </c>
      <c r="C35" s="23"/>
      <c r="D35" s="21" t="n">
        <v>5</v>
      </c>
      <c r="E35" s="22" t="n">
        <v>0.2</v>
      </c>
      <c r="F35" s="23"/>
      <c r="G35" s="23"/>
      <c r="H35" s="20" t="n">
        <v>478</v>
      </c>
      <c r="I35" s="20" t="n">
        <v>40</v>
      </c>
      <c r="J35" s="23" t="n">
        <f aca="false">C35+H35</f>
        <v>478</v>
      </c>
      <c r="K35" s="23" t="n">
        <f aca="false">F35+I35</f>
        <v>40</v>
      </c>
      <c r="L35" s="23" t="n">
        <f aca="false">J35-K35</f>
        <v>438</v>
      </c>
      <c r="M35" s="5" t="s">
        <v>202</v>
      </c>
      <c r="N35" s="5" t="s">
        <v>268</v>
      </c>
    </row>
    <row r="37" customFormat="false" ht="15" hidden="false" customHeight="false" outlineLevel="0" collapsed="false">
      <c r="A37" s="7" t="s">
        <v>129</v>
      </c>
      <c r="B37" s="9"/>
      <c r="C37" s="8" t="n">
        <f aca="false">SUM(C5:C35)</f>
        <v>64624</v>
      </c>
      <c r="D37" s="9"/>
      <c r="E37" s="9"/>
      <c r="F37" s="8" t="n">
        <f aca="false">SUM(F5:F35)</f>
        <v>44300</v>
      </c>
      <c r="G37" s="8" t="n">
        <f aca="false">SUM(G5:G35)</f>
        <v>22122</v>
      </c>
      <c r="H37" s="8" t="n">
        <f aca="false">SUM(H5:H35)</f>
        <v>478</v>
      </c>
      <c r="I37" s="8" t="n">
        <f aca="false">SUM(I5:I35)</f>
        <v>6989</v>
      </c>
      <c r="J37" s="8" t="n">
        <f aca="false">SUM(J5:J35)</f>
        <v>65102</v>
      </c>
      <c r="K37" s="8" t="n">
        <f aca="false">SUM(K5:K35)</f>
        <v>51289</v>
      </c>
      <c r="L37" s="8" t="n">
        <f aca="false">SUM(L5:L35)</f>
        <v>13813</v>
      </c>
    </row>
    <row r="38" customFormat="false" ht="15" hidden="false" customHeight="false" outlineLevel="0" collapsed="false">
      <c r="A38" s="24" t="s">
        <v>130</v>
      </c>
      <c r="C38" s="20" t="n">
        <v>64624</v>
      </c>
      <c r="F38" s="20" t="n">
        <v>44300</v>
      </c>
      <c r="G38" s="20" t="n">
        <v>22122</v>
      </c>
      <c r="H38" s="20" t="n">
        <v>478</v>
      </c>
      <c r="I38" s="20" t="n">
        <v>6989</v>
      </c>
      <c r="J38" s="20" t="n">
        <v>65102</v>
      </c>
      <c r="K38" s="20" t="n">
        <v>51289</v>
      </c>
      <c r="L38" s="20" t="n">
        <v>13813</v>
      </c>
    </row>
    <row r="39" customFormat="false" ht="15" hidden="false" customHeight="false" outlineLevel="0" collapsed="false">
      <c r="A39" s="24" t="s">
        <v>131</v>
      </c>
      <c r="C39" s="23" t="n">
        <f aca="false">C37-C38</f>
        <v>0</v>
      </c>
      <c r="F39" s="23" t="n">
        <f aca="false">F37-F38</f>
        <v>0</v>
      </c>
      <c r="G39" s="23" t="n">
        <f aca="false">G37-G38</f>
        <v>0</v>
      </c>
      <c r="H39" s="23" t="n">
        <f aca="false">H37-H38</f>
        <v>0</v>
      </c>
      <c r="I39" s="23" t="n">
        <f aca="false">I37-I38</f>
        <v>0</v>
      </c>
      <c r="J39" s="23" t="n">
        <f aca="false">J37-J38</f>
        <v>0</v>
      </c>
      <c r="K39" s="23" t="n">
        <f aca="false">K37-K38</f>
        <v>0</v>
      </c>
      <c r="L39" s="23" t="n">
        <f aca="false">L37-L38</f>
        <v>0</v>
      </c>
    </row>
    <row r="41" customFormat="false" ht="15" hidden="false" customHeight="false" outlineLevel="0" collapsed="false">
      <c r="A41" s="2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8" min="6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31.5" hidden="false" customHeight="true" outlineLevel="0" collapsed="false">
      <c r="A4" s="4" t="s">
        <v>272</v>
      </c>
      <c r="B4" s="4" t="s">
        <v>273</v>
      </c>
      <c r="C4" s="4" t="s">
        <v>274</v>
      </c>
      <c r="D4" s="4" t="s">
        <v>275</v>
      </c>
      <c r="E4" s="4" t="s">
        <v>276</v>
      </c>
      <c r="F4" s="4" t="s">
        <v>277</v>
      </c>
      <c r="G4" s="4" t="s">
        <v>278</v>
      </c>
      <c r="H4" s="4" t="s">
        <v>279</v>
      </c>
      <c r="I4" s="4" t="s">
        <v>53</v>
      </c>
    </row>
    <row r="5" customFormat="false" ht="15" hidden="false" customHeight="false" outlineLevel="0" collapsed="false">
      <c r="A5" s="25" t="n">
        <v>23398.25</v>
      </c>
      <c r="B5" s="5" t="s">
        <v>280</v>
      </c>
      <c r="C5" s="5" t="s">
        <v>281</v>
      </c>
      <c r="D5" s="5" t="s">
        <v>282</v>
      </c>
      <c r="E5" s="5" t="s">
        <v>178</v>
      </c>
      <c r="F5" s="5" t="s">
        <v>283</v>
      </c>
      <c r="G5" s="5" t="s">
        <v>284</v>
      </c>
      <c r="H5" s="25" t="n">
        <v>951.25</v>
      </c>
      <c r="I5" s="5"/>
    </row>
    <row r="6" customFormat="false" ht="15" hidden="false" customHeight="false" outlineLevel="0" collapsed="false">
      <c r="A6" s="25" t="n">
        <v>29232.19</v>
      </c>
      <c r="B6" s="5" t="s">
        <v>285</v>
      </c>
      <c r="C6" s="5"/>
      <c r="D6" s="5" t="s">
        <v>286</v>
      </c>
      <c r="E6" s="5" t="s">
        <v>287</v>
      </c>
      <c r="F6" s="5" t="s">
        <v>288</v>
      </c>
      <c r="G6" s="5" t="s">
        <v>289</v>
      </c>
      <c r="H6" s="25" t="n">
        <v>575.25</v>
      </c>
      <c r="I6" s="5"/>
    </row>
    <row r="7" customFormat="false" ht="15" hidden="false" customHeight="false" outlineLevel="0" collapsed="false">
      <c r="A7" s="25" t="n">
        <v>27297.33</v>
      </c>
      <c r="B7" s="5" t="s">
        <v>280</v>
      </c>
      <c r="C7" s="5" t="s">
        <v>290</v>
      </c>
      <c r="D7" s="5" t="s">
        <v>282</v>
      </c>
      <c r="E7" s="5" t="s">
        <v>291</v>
      </c>
      <c r="F7" s="5" t="s">
        <v>292</v>
      </c>
      <c r="G7" s="5" t="s">
        <v>293</v>
      </c>
      <c r="H7" s="25" t="n">
        <v>968.18</v>
      </c>
      <c r="I7" s="5"/>
    </row>
    <row r="8" customFormat="false" ht="15" hidden="false" customHeight="false" outlineLevel="0" collapsed="false">
      <c r="A8" s="25" t="n">
        <v>20306.8</v>
      </c>
      <c r="B8" s="5" t="s">
        <v>280</v>
      </c>
      <c r="C8" s="5" t="s">
        <v>294</v>
      </c>
      <c r="D8" s="5" t="s">
        <v>295</v>
      </c>
      <c r="E8" s="5" t="s">
        <v>296</v>
      </c>
      <c r="F8" s="5" t="s">
        <v>297</v>
      </c>
      <c r="G8" s="5" t="s">
        <v>298</v>
      </c>
      <c r="H8" s="25" t="n">
        <v>836.82</v>
      </c>
      <c r="I8" s="5"/>
    </row>
    <row r="9" customFormat="false" ht="15" hidden="false" customHeight="false" outlineLevel="0" collapsed="false">
      <c r="A9" s="25" t="n">
        <v>25447.65</v>
      </c>
      <c r="B9" s="5" t="s">
        <v>280</v>
      </c>
      <c r="C9" s="5" t="s">
        <v>299</v>
      </c>
      <c r="D9" s="5" t="s">
        <v>300</v>
      </c>
      <c r="E9" s="5" t="s">
        <v>202</v>
      </c>
      <c r="F9" s="5" t="s">
        <v>301</v>
      </c>
      <c r="G9" s="5" t="s">
        <v>302</v>
      </c>
      <c r="H9" s="25" t="n">
        <v>818.82</v>
      </c>
      <c r="I9" s="5" t="s">
        <v>303</v>
      </c>
    </row>
    <row r="10" customFormat="false" ht="15" hidden="false" customHeight="false" outlineLevel="0" collapsed="false">
      <c r="A10" s="26" t="n">
        <f aca="false">SUM(A5:A9)</f>
        <v>125682.22</v>
      </c>
      <c r="B10" s="7" t="s">
        <v>304</v>
      </c>
      <c r="C10" s="7"/>
      <c r="D10" s="7"/>
      <c r="E10" s="7"/>
      <c r="F10" s="7"/>
      <c r="G10" s="7"/>
      <c r="H10" s="26" t="n">
        <f aca="false">SUM(H5:H9)</f>
        <v>4150.32</v>
      </c>
    </row>
    <row r="12" customFormat="false" ht="15" hidden="false" customHeight="false" outlineLevel="0" collapsed="false">
      <c r="A12" s="3" t="s">
        <v>305</v>
      </c>
    </row>
    <row r="13" customFormat="false" ht="15" hidden="false" customHeight="false" outlineLevel="0" collapsed="false">
      <c r="A13" s="17" t="s">
        <v>306</v>
      </c>
      <c r="B13" s="17" t="s">
        <v>273</v>
      </c>
      <c r="C13" s="17" t="s">
        <v>274</v>
      </c>
      <c r="D13" s="17" t="s">
        <v>275</v>
      </c>
      <c r="E13" s="17" t="s">
        <v>276</v>
      </c>
      <c r="F13" s="17" t="s">
        <v>307</v>
      </c>
    </row>
    <row r="14" customFormat="false" ht="15" hidden="false" customHeight="false" outlineLevel="0" collapsed="false">
      <c r="A14" s="25" t="n">
        <v>43949.99</v>
      </c>
      <c r="B14" s="5" t="s">
        <v>280</v>
      </c>
      <c r="C14" s="5" t="s">
        <v>308</v>
      </c>
      <c r="D14" s="5" t="s">
        <v>309</v>
      </c>
      <c r="E14" s="5" t="s">
        <v>310</v>
      </c>
      <c r="F14" s="5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7" min="6" style="0" width="15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4" customFormat="false" ht="31.5" hidden="false" customHeight="true" outlineLevel="0" collapsed="false">
      <c r="A4" s="4" t="s">
        <v>314</v>
      </c>
      <c r="B4" s="4" t="s">
        <v>315</v>
      </c>
      <c r="C4" s="4" t="s">
        <v>44</v>
      </c>
      <c r="D4" s="4" t="s">
        <v>316</v>
      </c>
      <c r="E4" s="4" t="s">
        <v>317</v>
      </c>
      <c r="F4" s="4" t="s">
        <v>318</v>
      </c>
      <c r="G4" s="4" t="s">
        <v>319</v>
      </c>
      <c r="H4" s="4" t="s">
        <v>320</v>
      </c>
      <c r="I4" s="4" t="s">
        <v>53</v>
      </c>
    </row>
    <row r="5" customFormat="false" ht="15" hidden="false" customHeight="false" outlineLevel="0" collapsed="false">
      <c r="A5" s="5" t="s">
        <v>321</v>
      </c>
      <c r="B5" s="5" t="s">
        <v>322</v>
      </c>
      <c r="C5" s="5" t="s">
        <v>323</v>
      </c>
      <c r="D5" s="21" t="n">
        <v>25</v>
      </c>
      <c r="E5" s="5"/>
      <c r="F5" s="25" t="n">
        <v>4</v>
      </c>
      <c r="G5" s="25" t="n">
        <v>100</v>
      </c>
      <c r="H5" s="5"/>
      <c r="I5" s="5"/>
    </row>
    <row r="6" customFormat="false" ht="15" hidden="false" customHeight="false" outlineLevel="0" collapsed="false">
      <c r="A6" s="5" t="s">
        <v>324</v>
      </c>
      <c r="B6" s="5" t="s">
        <v>325</v>
      </c>
      <c r="C6" s="5" t="s">
        <v>326</v>
      </c>
      <c r="D6" s="21" t="n">
        <v>1000</v>
      </c>
      <c r="E6" s="5" t="s">
        <v>327</v>
      </c>
      <c r="F6" s="25" t="n">
        <v>0.47</v>
      </c>
      <c r="G6" s="25" t="n">
        <v>470</v>
      </c>
      <c r="H6" s="5" t="s">
        <v>328</v>
      </c>
      <c r="I6" s="5"/>
    </row>
    <row r="7" customFormat="false" ht="15" hidden="false" customHeight="false" outlineLevel="0" collapsed="false">
      <c r="A7" s="5" t="s">
        <v>329</v>
      </c>
      <c r="B7" s="5" t="s">
        <v>330</v>
      </c>
      <c r="C7" s="5"/>
      <c r="D7" s="21" t="n">
        <v>1</v>
      </c>
      <c r="E7" s="5" t="s">
        <v>331</v>
      </c>
      <c r="F7" s="25" t="n">
        <v>500</v>
      </c>
      <c r="G7" s="25" t="n">
        <v>500</v>
      </c>
      <c r="H7" s="5" t="s">
        <v>332</v>
      </c>
      <c r="I7" s="5"/>
    </row>
    <row r="8" customFormat="false" ht="15" hidden="false" customHeight="false" outlineLevel="0" collapsed="false">
      <c r="A8" s="5" t="s">
        <v>333</v>
      </c>
      <c r="B8" s="5" t="s">
        <v>334</v>
      </c>
      <c r="C8" s="5" t="s">
        <v>335</v>
      </c>
      <c r="D8" s="5"/>
      <c r="E8" s="5" t="s">
        <v>336</v>
      </c>
      <c r="F8" s="25" t="n">
        <v>114.75</v>
      </c>
      <c r="G8" s="25" t="n">
        <v>0</v>
      </c>
      <c r="H8" s="5"/>
      <c r="I8" s="5" t="s">
        <v>337</v>
      </c>
    </row>
    <row r="9" customFormat="false" ht="15" hidden="false" customHeight="false" outlineLevel="0" collapsed="false">
      <c r="A9" s="5" t="s">
        <v>333</v>
      </c>
      <c r="B9" s="5" t="s">
        <v>334</v>
      </c>
      <c r="C9" s="5" t="s">
        <v>338</v>
      </c>
      <c r="D9" s="5"/>
      <c r="E9" s="5" t="s">
        <v>336</v>
      </c>
      <c r="F9" s="25" t="n">
        <v>114.39</v>
      </c>
      <c r="G9" s="25" t="n">
        <v>0</v>
      </c>
      <c r="H9" s="5"/>
      <c r="I9" s="5"/>
    </row>
    <row r="10" customFormat="false" ht="15" hidden="false" customHeight="false" outlineLevel="0" collapsed="false">
      <c r="A10" s="5" t="s">
        <v>333</v>
      </c>
      <c r="B10" s="5" t="s">
        <v>334</v>
      </c>
      <c r="C10" s="5" t="s">
        <v>339</v>
      </c>
      <c r="D10" s="5"/>
      <c r="E10" s="5" t="s">
        <v>340</v>
      </c>
      <c r="F10" s="25" t="n">
        <v>144.43</v>
      </c>
      <c r="G10" s="25" t="n">
        <v>0</v>
      </c>
      <c r="H10" s="5"/>
      <c r="I10" s="5" t="s">
        <v>337</v>
      </c>
    </row>
    <row r="11" customFormat="false" ht="15" hidden="false" customHeight="false" outlineLevel="0" collapsed="false">
      <c r="A11" s="5" t="s">
        <v>333</v>
      </c>
      <c r="B11" s="5" t="s">
        <v>341</v>
      </c>
      <c r="C11" s="5" t="s">
        <v>342</v>
      </c>
      <c r="D11" s="5"/>
      <c r="E11" s="5" t="s">
        <v>343</v>
      </c>
      <c r="F11" s="25" t="n">
        <v>80.03</v>
      </c>
      <c r="G11" s="25" t="n">
        <v>0</v>
      </c>
      <c r="H11" s="5" t="s">
        <v>328</v>
      </c>
      <c r="I11" s="5" t="s">
        <v>344</v>
      </c>
    </row>
    <row r="12" customFormat="false" ht="15" hidden="false" customHeight="false" outlineLevel="0" collapsed="false">
      <c r="A12" s="5" t="s">
        <v>333</v>
      </c>
      <c r="B12" s="5" t="s">
        <v>341</v>
      </c>
      <c r="C12" s="5" t="s">
        <v>345</v>
      </c>
      <c r="D12" s="5"/>
      <c r="E12" s="5" t="s">
        <v>346</v>
      </c>
      <c r="F12" s="25" t="n">
        <v>116.2</v>
      </c>
      <c r="G12" s="25" t="n">
        <v>0</v>
      </c>
      <c r="H12" s="5"/>
      <c r="I12" s="5"/>
    </row>
    <row r="13" customFormat="false" ht="15" hidden="false" customHeight="false" outlineLevel="0" collapsed="false">
      <c r="A13" s="5" t="s">
        <v>333</v>
      </c>
      <c r="B13" s="5" t="s">
        <v>341</v>
      </c>
      <c r="C13" s="5" t="s">
        <v>347</v>
      </c>
      <c r="D13" s="5"/>
      <c r="E13" s="5" t="s">
        <v>348</v>
      </c>
      <c r="F13" s="25" t="n">
        <v>169.58</v>
      </c>
      <c r="G13" s="25" t="n">
        <v>0</v>
      </c>
      <c r="H13" s="5"/>
      <c r="I13" s="5"/>
    </row>
    <row r="14" customFormat="false" ht="15" hidden="false" customHeight="false" outlineLevel="0" collapsed="false">
      <c r="A14" s="5" t="s">
        <v>333</v>
      </c>
      <c r="B14" s="5" t="s">
        <v>341</v>
      </c>
      <c r="C14" s="5" t="s">
        <v>349</v>
      </c>
      <c r="D14" s="5"/>
      <c r="E14" s="5" t="s">
        <v>350</v>
      </c>
      <c r="F14" s="25" t="n">
        <v>127.05</v>
      </c>
      <c r="G14" s="25" t="n">
        <v>0</v>
      </c>
      <c r="H14" s="5"/>
      <c r="I14" s="5" t="s">
        <v>351</v>
      </c>
    </row>
    <row r="15" customFormat="false" ht="15" hidden="false" customHeight="false" outlineLevel="0" collapsed="false">
      <c r="A15" s="5" t="s">
        <v>333</v>
      </c>
      <c r="B15" s="5" t="s">
        <v>352</v>
      </c>
      <c r="C15" s="5" t="s">
        <v>353</v>
      </c>
      <c r="D15" s="5"/>
      <c r="E15" s="5" t="s">
        <v>354</v>
      </c>
      <c r="F15" s="25" t="n">
        <v>81.12</v>
      </c>
      <c r="G15" s="25" t="n">
        <v>0</v>
      </c>
      <c r="H15" s="5" t="s">
        <v>328</v>
      </c>
      <c r="I15" s="5" t="s">
        <v>337</v>
      </c>
    </row>
    <row r="16" customFormat="false" ht="15" hidden="false" customHeight="false" outlineLevel="0" collapsed="false">
      <c r="A16" s="5" t="s">
        <v>333</v>
      </c>
      <c r="B16" s="5" t="s">
        <v>352</v>
      </c>
      <c r="C16" s="5" t="s">
        <v>355</v>
      </c>
      <c r="D16" s="5"/>
      <c r="E16" s="5" t="s">
        <v>356</v>
      </c>
      <c r="F16" s="25" t="n">
        <v>160.5</v>
      </c>
      <c r="G16" s="25" t="n">
        <v>0</v>
      </c>
      <c r="H16" s="5"/>
      <c r="I16" s="5" t="s">
        <v>337</v>
      </c>
    </row>
    <row r="17" customFormat="false" ht="15" hidden="false" customHeight="false" outlineLevel="0" collapsed="false">
      <c r="A17" s="5" t="s">
        <v>333</v>
      </c>
      <c r="B17" s="5" t="s">
        <v>352</v>
      </c>
      <c r="C17" s="5" t="s">
        <v>357</v>
      </c>
      <c r="D17" s="5"/>
      <c r="E17" s="5" t="s">
        <v>358</v>
      </c>
      <c r="F17" s="25" t="n">
        <v>140</v>
      </c>
      <c r="G17" s="25" t="n">
        <v>0</v>
      </c>
      <c r="H17" s="5"/>
      <c r="I17" s="5"/>
    </row>
    <row r="18" customFormat="false" ht="15" hidden="false" customHeight="false" outlineLevel="0" collapsed="false">
      <c r="A18" s="5" t="s">
        <v>333</v>
      </c>
      <c r="B18" s="5" t="s">
        <v>352</v>
      </c>
      <c r="C18" s="5" t="s">
        <v>359</v>
      </c>
      <c r="D18" s="5"/>
      <c r="E18" s="5"/>
      <c r="F18" s="25" t="n">
        <v>128.8</v>
      </c>
      <c r="G18" s="25" t="n">
        <v>0</v>
      </c>
      <c r="H18" s="5"/>
      <c r="I18" s="5" t="s">
        <v>337</v>
      </c>
    </row>
    <row r="19" customFormat="false" ht="15" hidden="false" customHeight="false" outlineLevel="0" collapsed="false">
      <c r="A19" s="5" t="s">
        <v>333</v>
      </c>
      <c r="B19" s="5" t="s">
        <v>360</v>
      </c>
      <c r="C19" s="5" t="s">
        <v>361</v>
      </c>
      <c r="D19" s="5"/>
      <c r="E19" s="5" t="s">
        <v>362</v>
      </c>
      <c r="F19" s="25" t="n">
        <v>117.5</v>
      </c>
      <c r="G19" s="25" t="n">
        <v>0</v>
      </c>
      <c r="H19" s="5"/>
      <c r="I19" s="5"/>
    </row>
    <row r="20" customFormat="false" ht="15" hidden="false" customHeight="false" outlineLevel="0" collapsed="false">
      <c r="A20" s="5" t="s">
        <v>333</v>
      </c>
      <c r="B20" s="5" t="s">
        <v>363</v>
      </c>
      <c r="C20" s="5" t="s">
        <v>364</v>
      </c>
      <c r="D20" s="5"/>
      <c r="E20" s="5"/>
      <c r="F20" s="25" t="n">
        <v>72.96</v>
      </c>
      <c r="G20" s="25" t="n">
        <v>0</v>
      </c>
      <c r="H20" s="5"/>
      <c r="I20" s="5" t="s">
        <v>337</v>
      </c>
    </row>
    <row r="21" customFormat="false" ht="15" hidden="false" customHeight="false" outlineLevel="0" collapsed="false">
      <c r="A21" s="5" t="s">
        <v>333</v>
      </c>
      <c r="B21" s="5" t="s">
        <v>363</v>
      </c>
      <c r="C21" s="5" t="s">
        <v>365</v>
      </c>
      <c r="D21" s="5"/>
      <c r="E21" s="5"/>
      <c r="F21" s="25" t="n">
        <v>97</v>
      </c>
      <c r="G21" s="25" t="n">
        <v>0</v>
      </c>
      <c r="H21" s="5"/>
      <c r="I21" s="5"/>
    </row>
    <row r="22" customFormat="false" ht="15" hidden="false" customHeight="false" outlineLevel="0" collapsed="false">
      <c r="A22" s="5" t="s">
        <v>333</v>
      </c>
      <c r="B22" s="5" t="s">
        <v>363</v>
      </c>
      <c r="C22" s="5" t="s">
        <v>366</v>
      </c>
      <c r="D22" s="5"/>
      <c r="E22" s="5"/>
      <c r="F22" s="25" t="n">
        <v>95</v>
      </c>
      <c r="G22" s="25" t="n">
        <v>0</v>
      </c>
      <c r="H22" s="5" t="s">
        <v>328</v>
      </c>
      <c r="I22" s="5"/>
    </row>
    <row r="23" customFormat="false" ht="15" hidden="false" customHeight="false" outlineLevel="0" collapsed="false">
      <c r="A23" s="5" t="s">
        <v>333</v>
      </c>
      <c r="B23" s="5" t="s">
        <v>367</v>
      </c>
      <c r="C23" s="5" t="s">
        <v>368</v>
      </c>
      <c r="D23" s="21" t="n">
        <v>29</v>
      </c>
      <c r="E23" s="5"/>
      <c r="F23" s="25" t="n">
        <v>0</v>
      </c>
      <c r="G23" s="25" t="n">
        <v>0</v>
      </c>
      <c r="H23" s="5" t="s">
        <v>328</v>
      </c>
      <c r="I23" s="5" t="s">
        <v>369</v>
      </c>
    </row>
    <row r="24" customFormat="false" ht="15" hidden="false" customHeight="false" outlineLevel="0" collapsed="false">
      <c r="A24" s="5" t="s">
        <v>333</v>
      </c>
      <c r="B24" s="5" t="s">
        <v>363</v>
      </c>
      <c r="C24" s="5" t="s">
        <v>370</v>
      </c>
      <c r="D24" s="5"/>
      <c r="E24" s="5"/>
      <c r="F24" s="27"/>
      <c r="G24" s="27"/>
      <c r="H24" s="5"/>
      <c r="I24" s="5"/>
    </row>
    <row r="25" customFormat="false" ht="15" hidden="false" customHeight="false" outlineLevel="0" collapsed="false">
      <c r="A25" s="5" t="s">
        <v>333</v>
      </c>
      <c r="B25" s="5" t="s">
        <v>371</v>
      </c>
      <c r="C25" s="5" t="s">
        <v>372</v>
      </c>
      <c r="D25" s="5"/>
      <c r="E25" s="5" t="s">
        <v>373</v>
      </c>
      <c r="F25" s="25" t="n">
        <v>131.81</v>
      </c>
      <c r="G25" s="25" t="n">
        <v>0</v>
      </c>
      <c r="H25" s="5"/>
      <c r="I25" s="5" t="s">
        <v>374</v>
      </c>
    </row>
    <row r="26" customFormat="false" ht="15" hidden="false" customHeight="false" outlineLevel="0" collapsed="false">
      <c r="A26" s="5" t="s">
        <v>333</v>
      </c>
      <c r="B26" s="5" t="s">
        <v>375</v>
      </c>
      <c r="C26" s="5" t="s">
        <v>376</v>
      </c>
      <c r="D26" s="5"/>
      <c r="E26" s="5" t="s">
        <v>377</v>
      </c>
      <c r="F26" s="25" t="n">
        <v>144</v>
      </c>
      <c r="G26" s="25" t="n">
        <v>0</v>
      </c>
      <c r="H26" s="5"/>
      <c r="I26" s="5"/>
    </row>
    <row r="27" customFormat="false" ht="15" hidden="false" customHeight="false" outlineLevel="0" collapsed="false">
      <c r="A27" s="5" t="s">
        <v>333</v>
      </c>
      <c r="B27" s="5" t="s">
        <v>378</v>
      </c>
      <c r="C27" s="5" t="s">
        <v>379</v>
      </c>
      <c r="D27" s="5"/>
      <c r="E27" s="5" t="s">
        <v>380</v>
      </c>
      <c r="F27" s="25" t="n">
        <v>165</v>
      </c>
      <c r="G27" s="25" t="n">
        <v>0</v>
      </c>
      <c r="H27" s="5" t="s">
        <v>328</v>
      </c>
      <c r="I27" s="5"/>
    </row>
    <row r="28" customFormat="false" ht="15" hidden="false" customHeight="false" outlineLevel="0" collapsed="false">
      <c r="A28" s="5" t="s">
        <v>333</v>
      </c>
      <c r="B28" s="5" t="s">
        <v>381</v>
      </c>
      <c r="C28" s="5" t="s">
        <v>382</v>
      </c>
      <c r="D28" s="5"/>
      <c r="E28" s="5" t="s">
        <v>383</v>
      </c>
      <c r="F28" s="25" t="n">
        <v>98.05</v>
      </c>
      <c r="G28" s="25" t="n">
        <v>0</v>
      </c>
      <c r="H28" s="5" t="s">
        <v>328</v>
      </c>
      <c r="I28" s="5"/>
    </row>
    <row r="29" customFormat="false" ht="15" hidden="false" customHeight="false" outlineLevel="0" collapsed="false">
      <c r="A29" s="5" t="s">
        <v>333</v>
      </c>
      <c r="B29" s="5" t="s">
        <v>381</v>
      </c>
      <c r="C29" s="5" t="s">
        <v>384</v>
      </c>
      <c r="D29" s="5"/>
      <c r="E29" s="5"/>
      <c r="F29" s="25" t="n">
        <v>75</v>
      </c>
      <c r="G29" s="25" t="n">
        <v>0</v>
      </c>
      <c r="H29" s="5" t="s">
        <v>328</v>
      </c>
      <c r="I29" s="5"/>
    </row>
    <row r="30" customFormat="false" ht="15" hidden="false" customHeight="false" outlineLevel="0" collapsed="false">
      <c r="A30" s="5" t="s">
        <v>333</v>
      </c>
      <c r="B30" s="5" t="s">
        <v>385</v>
      </c>
      <c r="C30" s="5" t="s">
        <v>386</v>
      </c>
      <c r="D30" s="5"/>
      <c r="E30" s="5" t="s">
        <v>387</v>
      </c>
      <c r="F30" s="25" t="n">
        <v>46.5</v>
      </c>
      <c r="G30" s="25" t="n">
        <v>0</v>
      </c>
      <c r="H30" s="5" t="s">
        <v>328</v>
      </c>
      <c r="I30" s="5"/>
    </row>
    <row r="31" customFormat="false" ht="15" hidden="false" customHeight="false" outlineLevel="0" collapsed="false">
      <c r="A31" s="5" t="s">
        <v>333</v>
      </c>
      <c r="B31" s="5" t="s">
        <v>385</v>
      </c>
      <c r="C31" s="5" t="s">
        <v>388</v>
      </c>
      <c r="D31" s="5"/>
      <c r="E31" s="5" t="s">
        <v>383</v>
      </c>
      <c r="F31" s="25" t="n">
        <v>75</v>
      </c>
      <c r="G31" s="25" t="n">
        <v>0</v>
      </c>
      <c r="H31" s="5" t="s">
        <v>328</v>
      </c>
      <c r="I31" s="5"/>
    </row>
    <row r="32" customFormat="false" ht="15" hidden="false" customHeight="false" outlineLevel="0" collapsed="false">
      <c r="A32" s="5" t="s">
        <v>333</v>
      </c>
      <c r="B32" s="5" t="s">
        <v>385</v>
      </c>
      <c r="C32" s="5" t="s">
        <v>389</v>
      </c>
      <c r="D32" s="5"/>
      <c r="E32" s="5" t="s">
        <v>390</v>
      </c>
      <c r="F32" s="25" t="n">
        <v>95</v>
      </c>
      <c r="G32" s="25" t="n">
        <v>0</v>
      </c>
      <c r="H32" s="5" t="s">
        <v>328</v>
      </c>
      <c r="I32" s="5"/>
    </row>
    <row r="33" customFormat="false" ht="15" hidden="false" customHeight="false" outlineLevel="0" collapsed="false">
      <c r="A33" s="5" t="s">
        <v>333</v>
      </c>
      <c r="B33" s="5" t="s">
        <v>385</v>
      </c>
      <c r="C33" s="5" t="s">
        <v>391</v>
      </c>
      <c r="D33" s="5"/>
      <c r="E33" s="5" t="s">
        <v>392</v>
      </c>
      <c r="F33" s="25" t="n">
        <v>139.61</v>
      </c>
      <c r="G33" s="25" t="n">
        <v>0</v>
      </c>
      <c r="H33" s="5" t="s">
        <v>328</v>
      </c>
      <c r="I33" s="5" t="s">
        <v>337</v>
      </c>
    </row>
    <row r="34" customFormat="false" ht="15" hidden="false" customHeight="false" outlineLevel="0" collapsed="false">
      <c r="A34" s="5" t="s">
        <v>333</v>
      </c>
      <c r="B34" s="5" t="s">
        <v>385</v>
      </c>
      <c r="C34" s="5" t="s">
        <v>393</v>
      </c>
      <c r="D34" s="5"/>
      <c r="E34" s="5" t="s">
        <v>394</v>
      </c>
      <c r="F34" s="25" t="n">
        <v>95</v>
      </c>
      <c r="G34" s="25" t="n">
        <v>0</v>
      </c>
      <c r="H34" s="5" t="s">
        <v>328</v>
      </c>
      <c r="I34" s="5"/>
    </row>
    <row r="35" customFormat="false" ht="15" hidden="false" customHeight="false" outlineLevel="0" collapsed="false">
      <c r="A35" s="5" t="s">
        <v>333</v>
      </c>
      <c r="B35" s="5" t="s">
        <v>395</v>
      </c>
      <c r="C35" s="5" t="s">
        <v>396</v>
      </c>
      <c r="D35" s="5"/>
      <c r="E35" s="5" t="s">
        <v>397</v>
      </c>
      <c r="F35" s="25" t="n">
        <v>112.5</v>
      </c>
      <c r="G35" s="25" t="n">
        <v>0</v>
      </c>
      <c r="H35" s="5"/>
      <c r="I35" s="5"/>
    </row>
    <row r="36" customFormat="false" ht="15" hidden="false" customHeight="false" outlineLevel="0" collapsed="false">
      <c r="A36" s="5" t="s">
        <v>333</v>
      </c>
      <c r="B36" s="5" t="s">
        <v>385</v>
      </c>
      <c r="C36" s="5" t="s">
        <v>398</v>
      </c>
      <c r="D36" s="5"/>
      <c r="E36" s="5" t="s">
        <v>399</v>
      </c>
      <c r="F36" s="25" t="n">
        <v>91.8</v>
      </c>
      <c r="G36" s="25" t="n">
        <v>0</v>
      </c>
      <c r="H36" s="5"/>
      <c r="I36" s="5"/>
    </row>
    <row r="37" customFormat="false" ht="15" hidden="false" customHeight="false" outlineLevel="0" collapsed="false">
      <c r="A37" s="5" t="s">
        <v>333</v>
      </c>
      <c r="B37" s="5" t="s">
        <v>385</v>
      </c>
      <c r="C37" s="5" t="s">
        <v>400</v>
      </c>
      <c r="D37" s="5"/>
      <c r="E37" s="5" t="s">
        <v>401</v>
      </c>
      <c r="F37" s="25" t="n">
        <v>78.74</v>
      </c>
      <c r="G37" s="25" t="n">
        <v>0</v>
      </c>
      <c r="H37" s="5" t="s">
        <v>328</v>
      </c>
      <c r="I37" s="5" t="s">
        <v>337</v>
      </c>
    </row>
    <row r="38" customFormat="false" ht="15" hidden="false" customHeight="false" outlineLevel="0" collapsed="false">
      <c r="A38" s="5" t="s">
        <v>333</v>
      </c>
      <c r="B38" s="5" t="s">
        <v>402</v>
      </c>
      <c r="C38" s="5" t="s">
        <v>403</v>
      </c>
      <c r="D38" s="5"/>
      <c r="E38" s="5" t="s">
        <v>404</v>
      </c>
      <c r="F38" s="25" t="n">
        <v>60.6</v>
      </c>
      <c r="G38" s="25" t="n">
        <v>69508.2</v>
      </c>
      <c r="H38" s="5"/>
      <c r="I38" s="5"/>
    </row>
    <row r="39" customFormat="false" ht="15" hidden="false" customHeight="false" outlineLevel="0" collapsed="false">
      <c r="A39" s="5" t="s">
        <v>405</v>
      </c>
      <c r="B39" s="5" t="s">
        <v>406</v>
      </c>
      <c r="C39" s="5" t="s">
        <v>407</v>
      </c>
      <c r="D39" s="21" t="n">
        <v>2</v>
      </c>
      <c r="E39" s="5"/>
      <c r="F39" s="25" t="n">
        <v>120</v>
      </c>
      <c r="G39" s="25" t="n">
        <v>240</v>
      </c>
      <c r="H39" s="5"/>
      <c r="I39" s="5"/>
    </row>
    <row r="40" customFormat="false" ht="15" hidden="false" customHeight="false" outlineLevel="0" collapsed="false">
      <c r="A40" s="5" t="s">
        <v>405</v>
      </c>
      <c r="B40" s="5" t="s">
        <v>408</v>
      </c>
      <c r="C40" s="5" t="s">
        <v>407</v>
      </c>
      <c r="D40" s="21" t="n">
        <v>7</v>
      </c>
      <c r="E40" s="5"/>
      <c r="F40" s="25" t="n">
        <v>18482</v>
      </c>
      <c r="G40" s="25" t="n">
        <v>18482</v>
      </c>
      <c r="H40" s="5" t="s">
        <v>328</v>
      </c>
      <c r="I40" s="5"/>
    </row>
    <row r="41" customFormat="false" ht="15" hidden="false" customHeight="false" outlineLevel="0" collapsed="false">
      <c r="A41" s="5" t="s">
        <v>405</v>
      </c>
      <c r="B41" s="5" t="s">
        <v>409</v>
      </c>
      <c r="C41" s="5" t="s">
        <v>407</v>
      </c>
      <c r="D41" s="21" t="n">
        <v>5</v>
      </c>
      <c r="E41" s="5"/>
      <c r="F41" s="25" t="n">
        <v>9240</v>
      </c>
      <c r="G41" s="25" t="n">
        <v>9240</v>
      </c>
      <c r="H41" s="5"/>
      <c r="I41" s="5"/>
    </row>
    <row r="42" customFormat="false" ht="15" hidden="false" customHeight="false" outlineLevel="0" collapsed="false">
      <c r="A42" s="5" t="s">
        <v>405</v>
      </c>
      <c r="B42" s="5" t="s">
        <v>410</v>
      </c>
      <c r="C42" s="5" t="s">
        <v>411</v>
      </c>
      <c r="D42" s="21" t="n">
        <v>2</v>
      </c>
      <c r="E42" s="5" t="s">
        <v>412</v>
      </c>
      <c r="F42" s="25" t="n">
        <v>63.82</v>
      </c>
      <c r="G42" s="25" t="n">
        <v>127.64</v>
      </c>
      <c r="H42" s="5"/>
      <c r="I42" s="5" t="s">
        <v>374</v>
      </c>
    </row>
    <row r="44" customFormat="false" ht="15" hidden="false" customHeight="false" outlineLevel="0" collapsed="false">
      <c r="A44" s="7" t="s">
        <v>413</v>
      </c>
      <c r="G44" s="26" t="n">
        <f aca="false">SUM(G5:G42)</f>
        <v>98667.84</v>
      </c>
      <c r="H44" s="28" t="s">
        <v>414</v>
      </c>
    </row>
    <row r="47" customFormat="false" ht="15" hidden="false" customHeight="false" outlineLevel="0" collapsed="false">
      <c r="A47" s="3" t="s">
        <v>415</v>
      </c>
    </row>
    <row r="48" customFormat="false" ht="15" hidden="false" customHeight="false" outlineLevel="0" collapsed="false">
      <c r="A48" s="17" t="s">
        <v>416</v>
      </c>
      <c r="B48" s="17" t="s">
        <v>417</v>
      </c>
      <c r="C48" s="17" t="s">
        <v>44</v>
      </c>
      <c r="D48" s="17" t="s">
        <v>316</v>
      </c>
      <c r="E48" s="17" t="s">
        <v>418</v>
      </c>
      <c r="F48" s="17" t="s">
        <v>419</v>
      </c>
      <c r="G48" s="17" t="s">
        <v>319</v>
      </c>
      <c r="H48" s="17"/>
      <c r="I48" s="17" t="s">
        <v>420</v>
      </c>
    </row>
    <row r="49" customFormat="false" ht="15" hidden="false" customHeight="false" outlineLevel="0" collapsed="false">
      <c r="A49" s="5" t="s">
        <v>421</v>
      </c>
      <c r="B49" s="5" t="s">
        <v>422</v>
      </c>
      <c r="C49" s="5" t="s">
        <v>423</v>
      </c>
      <c r="D49" s="21" t="n">
        <v>9</v>
      </c>
      <c r="E49" s="5" t="s">
        <v>424</v>
      </c>
      <c r="F49" s="25" t="n">
        <v>76.44</v>
      </c>
      <c r="G49" s="25" t="n">
        <v>764.4</v>
      </c>
      <c r="H49" s="5"/>
      <c r="I49" s="5" t="s">
        <v>425</v>
      </c>
    </row>
    <row r="50" customFormat="false" ht="15" hidden="false" customHeight="false" outlineLevel="0" collapsed="false">
      <c r="A50" s="5" t="s">
        <v>421</v>
      </c>
      <c r="B50" s="5" t="s">
        <v>426</v>
      </c>
      <c r="C50" s="5" t="s">
        <v>427</v>
      </c>
      <c r="D50" s="21" t="n">
        <v>5</v>
      </c>
      <c r="E50" s="5" t="s">
        <v>424</v>
      </c>
      <c r="F50" s="25" t="n">
        <v>87.3</v>
      </c>
      <c r="G50" s="25" t="n">
        <v>611.1</v>
      </c>
      <c r="H50" s="5"/>
      <c r="I50" s="5" t="s">
        <v>428</v>
      </c>
    </row>
    <row r="51" customFormat="false" ht="15" hidden="false" customHeight="false" outlineLevel="0" collapsed="false">
      <c r="A51" s="5" t="s">
        <v>421</v>
      </c>
      <c r="B51" s="5" t="s">
        <v>429</v>
      </c>
      <c r="C51" s="5" t="s">
        <v>430</v>
      </c>
      <c r="D51" s="21" t="n">
        <v>8</v>
      </c>
      <c r="E51" s="5" t="s">
        <v>424</v>
      </c>
      <c r="F51" s="25" t="n">
        <v>81.12</v>
      </c>
      <c r="G51" s="25" t="n">
        <v>811.2</v>
      </c>
      <c r="H51" s="5"/>
      <c r="I51" s="5" t="s">
        <v>431</v>
      </c>
    </row>
    <row r="52" customFormat="false" ht="15" hidden="false" customHeight="false" outlineLevel="0" collapsed="false">
      <c r="A52" s="5" t="s">
        <v>432</v>
      </c>
      <c r="B52" s="5" t="s">
        <v>433</v>
      </c>
      <c r="C52" s="5" t="s">
        <v>434</v>
      </c>
      <c r="D52" s="5"/>
      <c r="E52" s="5" t="s">
        <v>435</v>
      </c>
      <c r="F52" s="27"/>
      <c r="G52" s="25" t="n">
        <v>1234.8</v>
      </c>
      <c r="H52" s="5"/>
      <c r="I52" s="5" t="s">
        <v>436</v>
      </c>
    </row>
    <row r="53" customFormat="false" ht="15" hidden="false" customHeight="false" outlineLevel="0" collapsed="false">
      <c r="A53" s="5" t="s">
        <v>432</v>
      </c>
      <c r="B53" s="5"/>
      <c r="C53" s="5" t="s">
        <v>437</v>
      </c>
      <c r="D53" s="5"/>
      <c r="E53" s="5" t="s">
        <v>438</v>
      </c>
      <c r="F53" s="27"/>
      <c r="G53" s="25" t="n">
        <v>390</v>
      </c>
      <c r="H53" s="5"/>
      <c r="I53" s="5" t="s">
        <v>436</v>
      </c>
    </row>
    <row r="54" customFormat="false" ht="15" hidden="false" customHeight="false" outlineLevel="0" collapsed="false">
      <c r="A54" s="5" t="s">
        <v>439</v>
      </c>
      <c r="B54" s="5"/>
      <c r="C54" s="5" t="s">
        <v>440</v>
      </c>
      <c r="D54" s="21" t="n">
        <v>93</v>
      </c>
      <c r="E54" s="5" t="s">
        <v>435</v>
      </c>
      <c r="F54" s="25" t="n">
        <v>78.74</v>
      </c>
      <c r="G54" s="25" t="n">
        <v>7322.82</v>
      </c>
      <c r="H54" s="5"/>
      <c r="I54" s="5" t="s">
        <v>436</v>
      </c>
    </row>
    <row r="55" customFormat="false" ht="15" hidden="false" customHeight="false" outlineLevel="0" collapsed="false">
      <c r="A55" s="5" t="s">
        <v>439</v>
      </c>
      <c r="B55" s="5"/>
      <c r="C55" s="5" t="s">
        <v>441</v>
      </c>
      <c r="D55" s="21" t="n">
        <v>2</v>
      </c>
      <c r="E55" s="5" t="s">
        <v>435</v>
      </c>
      <c r="F55" s="25" t="n">
        <v>78.74</v>
      </c>
      <c r="G55" s="25" t="n">
        <v>157.48</v>
      </c>
      <c r="H55" s="5"/>
      <c r="I55" s="5"/>
    </row>
    <row r="56" customFormat="false" ht="15" hidden="false" customHeight="false" outlineLevel="0" collapsed="false">
      <c r="A56" s="5" t="s">
        <v>439</v>
      </c>
      <c r="B56" s="5"/>
      <c r="C56" s="5" t="s">
        <v>442</v>
      </c>
      <c r="D56" s="5"/>
      <c r="E56" s="5" t="s">
        <v>438</v>
      </c>
      <c r="F56" s="27"/>
      <c r="G56" s="25" t="n">
        <v>1705</v>
      </c>
      <c r="H56" s="5"/>
      <c r="I56" s="5" t="s">
        <v>436</v>
      </c>
    </row>
    <row r="57" customFormat="false" ht="15" hidden="false" customHeight="false" outlineLevel="0" collapsed="false">
      <c r="A57" s="5" t="s">
        <v>439</v>
      </c>
      <c r="B57" s="5"/>
      <c r="C57" s="5" t="s">
        <v>443</v>
      </c>
      <c r="D57" s="5"/>
      <c r="E57" s="5"/>
      <c r="F57" s="27"/>
      <c r="G57" s="27"/>
      <c r="H57" s="5"/>
      <c r="I57" s="5" t="s">
        <v>444</v>
      </c>
    </row>
    <row r="58" customFormat="false" ht="15" hidden="false" customHeight="false" outlineLevel="0" collapsed="false">
      <c r="A58" s="5" t="s">
        <v>445</v>
      </c>
      <c r="B58" s="5"/>
      <c r="C58" s="5" t="s">
        <v>446</v>
      </c>
      <c r="D58" s="5"/>
      <c r="E58" s="5"/>
      <c r="F58" s="27"/>
      <c r="G58" s="27"/>
      <c r="H58" s="5"/>
      <c r="I58" s="5" t="s">
        <v>447</v>
      </c>
    </row>
    <row r="60" customFormat="false" ht="15" hidden="false" customHeight="false" outlineLevel="0" collapsed="false">
      <c r="A60" s="7" t="s">
        <v>448</v>
      </c>
      <c r="G60" s="26" t="n">
        <f aca="false">SUM(G49:G58)</f>
        <v>12996.8</v>
      </c>
    </row>
    <row r="61" customFormat="false" ht="15" hidden="false" customHeight="false" outlineLevel="0" collapsed="false">
      <c r="A61" s="24" t="s">
        <v>449</v>
      </c>
      <c r="G61" s="25" t="n">
        <v>10810.1</v>
      </c>
    </row>
    <row r="62" customFormat="false" ht="15" hidden="false" customHeight="false" outlineLevel="0" collapsed="false">
      <c r="A62" s="24" t="s">
        <v>450</v>
      </c>
      <c r="G62" s="27" t="n">
        <f aca="false">G60-G61</f>
        <v>2186.7</v>
      </c>
    </row>
    <row r="64" customFormat="false" ht="15" hidden="false" customHeight="false" outlineLevel="0" collapsed="false">
      <c r="A64" s="7" t="s">
        <v>451</v>
      </c>
      <c r="G64" s="26" t="n">
        <f aca="false">G44+G61</f>
        <v>109477.94</v>
      </c>
      <c r="H64" s="28" t="s">
        <v>452</v>
      </c>
    </row>
    <row r="66" customFormat="false" ht="15" hidden="false" customHeight="false" outlineLevel="0" collapsed="false">
      <c r="A66" s="2" t="s">
        <v>453</v>
      </c>
    </row>
    <row r="67" customFormat="false" ht="15" hidden="false" customHeight="false" outlineLevel="0" collapsed="false">
      <c r="A67" s="2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34"/>
    <col collapsed="false" customWidth="true" hidden="false" outlineLevel="0" max="9" min="9" style="0" width="9"/>
    <col collapsed="false" customWidth="true" hidden="false" outlineLevel="0" max="10" min="10" style="0" width="44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456</v>
      </c>
    </row>
    <row r="4" customFormat="false" ht="31.5" hidden="false" customHeight="true" outlineLevel="0" collapsed="false">
      <c r="A4" s="4" t="s">
        <v>457</v>
      </c>
      <c r="B4" s="4" t="s">
        <v>458</v>
      </c>
      <c r="C4" s="4" t="s">
        <v>459</v>
      </c>
      <c r="D4" s="4" t="s">
        <v>460</v>
      </c>
      <c r="E4" s="4" t="s">
        <v>461</v>
      </c>
      <c r="F4" s="4" t="s">
        <v>462</v>
      </c>
      <c r="G4" s="4" t="s">
        <v>463</v>
      </c>
      <c r="H4" s="4" t="s">
        <v>464</v>
      </c>
      <c r="I4" s="4" t="s">
        <v>465</v>
      </c>
      <c r="J4" s="4" t="s">
        <v>53</v>
      </c>
      <c r="K4" s="4" t="s">
        <v>466</v>
      </c>
      <c r="L4" s="4" t="s">
        <v>467</v>
      </c>
      <c r="M4" s="4" t="s">
        <v>468</v>
      </c>
      <c r="N4" s="4" t="s">
        <v>469</v>
      </c>
      <c r="O4" s="4" t="s">
        <v>470</v>
      </c>
      <c r="P4" s="4" t="s">
        <v>471</v>
      </c>
      <c r="Q4" s="4" t="s">
        <v>472</v>
      </c>
      <c r="R4" s="4" t="s">
        <v>473</v>
      </c>
    </row>
    <row r="5" customFormat="false" ht="15" hidden="false" customHeight="false" outlineLevel="0" collapsed="false">
      <c r="A5" s="5" t="s">
        <v>474</v>
      </c>
      <c r="B5" s="21" t="n">
        <v>70</v>
      </c>
      <c r="C5" s="5"/>
      <c r="D5" s="5" t="s">
        <v>475</v>
      </c>
      <c r="E5" s="25" t="n">
        <v>5568.33</v>
      </c>
      <c r="F5" s="27"/>
      <c r="G5" s="25" t="n">
        <v>0</v>
      </c>
      <c r="H5" s="5" t="s">
        <v>476</v>
      </c>
      <c r="I5" s="22" t="n">
        <v>0.6</v>
      </c>
      <c r="J5" s="5" t="s">
        <v>477</v>
      </c>
      <c r="K5" s="21" t="n">
        <v>11</v>
      </c>
      <c r="L5" s="29" t="n">
        <v>0.6</v>
      </c>
      <c r="M5" s="25" t="n">
        <v>36750.98</v>
      </c>
      <c r="N5" s="25" t="n">
        <v>0</v>
      </c>
      <c r="O5" s="25" t="n">
        <v>2940.08</v>
      </c>
      <c r="P5" s="27"/>
      <c r="Q5" s="27" t="n">
        <f aca="false">SUM(M5:P5)</f>
        <v>39691.06</v>
      </c>
      <c r="R5" s="5"/>
    </row>
    <row r="6" customFormat="false" ht="15" hidden="false" customHeight="false" outlineLevel="0" collapsed="false">
      <c r="A6" s="5" t="s">
        <v>474</v>
      </c>
      <c r="B6" s="21" t="n">
        <v>17</v>
      </c>
      <c r="C6" s="5" t="s">
        <v>478</v>
      </c>
      <c r="D6" s="5" t="s">
        <v>479</v>
      </c>
      <c r="E6" s="25" t="n">
        <v>9250</v>
      </c>
      <c r="F6" s="25" t="n">
        <v>0</v>
      </c>
      <c r="G6" s="25" t="n">
        <v>0</v>
      </c>
      <c r="H6" s="5" t="s">
        <v>480</v>
      </c>
      <c r="I6" s="22" t="n">
        <v>1</v>
      </c>
      <c r="J6" s="5" t="s">
        <v>481</v>
      </c>
      <c r="K6" s="21" t="n">
        <v>12</v>
      </c>
      <c r="L6" s="29" t="n">
        <v>1</v>
      </c>
      <c r="M6" s="25" t="n">
        <v>111000</v>
      </c>
      <c r="N6" s="25" t="n">
        <v>10000</v>
      </c>
      <c r="O6" s="25" t="n">
        <v>8880</v>
      </c>
      <c r="P6" s="27"/>
      <c r="Q6" s="27" t="n">
        <f aca="false">SUM(M6:P6)</f>
        <v>129880</v>
      </c>
      <c r="R6" s="5" t="s">
        <v>482</v>
      </c>
    </row>
    <row r="7" customFormat="false" ht="15" hidden="false" customHeight="false" outlineLevel="0" collapsed="false">
      <c r="A7" s="5" t="s">
        <v>483</v>
      </c>
      <c r="B7" s="21" t="n">
        <v>19</v>
      </c>
      <c r="C7" s="5" t="s">
        <v>484</v>
      </c>
      <c r="D7" s="5" t="s">
        <v>485</v>
      </c>
      <c r="E7" s="25" t="n">
        <v>8000</v>
      </c>
      <c r="F7" s="25" t="n">
        <v>0</v>
      </c>
      <c r="G7" s="25" t="n">
        <v>0</v>
      </c>
      <c r="H7" s="5" t="s">
        <v>486</v>
      </c>
      <c r="I7" s="22" t="n">
        <v>1</v>
      </c>
      <c r="J7" s="5" t="s">
        <v>487</v>
      </c>
      <c r="K7" s="21" t="n">
        <v>12</v>
      </c>
      <c r="L7" s="29" t="n">
        <v>1</v>
      </c>
      <c r="M7" s="25" t="n">
        <v>96000</v>
      </c>
      <c r="N7" s="25" t="n">
        <v>26500</v>
      </c>
      <c r="O7" s="25" t="n">
        <v>7680</v>
      </c>
      <c r="P7" s="27"/>
      <c r="Q7" s="27" t="n">
        <f aca="false">SUM(M7:P7)</f>
        <v>130180</v>
      </c>
      <c r="R7" s="5" t="s">
        <v>488</v>
      </c>
    </row>
    <row r="8" customFormat="false" ht="15" hidden="false" customHeight="false" outlineLevel="0" collapsed="false">
      <c r="A8" s="5" t="s">
        <v>489</v>
      </c>
      <c r="B8" s="21" t="n">
        <v>66</v>
      </c>
      <c r="C8" s="5" t="s">
        <v>490</v>
      </c>
      <c r="D8" s="5" t="s">
        <v>491</v>
      </c>
      <c r="E8" s="25" t="n">
        <v>4000</v>
      </c>
      <c r="F8" s="27"/>
      <c r="G8" s="27"/>
      <c r="H8" s="5" t="s">
        <v>492</v>
      </c>
      <c r="I8" s="22" t="n">
        <v>1</v>
      </c>
      <c r="J8" s="5" t="s">
        <v>493</v>
      </c>
      <c r="K8" s="21" t="n">
        <v>12</v>
      </c>
      <c r="L8" s="29" t="n">
        <v>1</v>
      </c>
      <c r="M8" s="25" t="n">
        <v>48000</v>
      </c>
      <c r="N8" s="25" t="n">
        <v>0</v>
      </c>
      <c r="O8" s="25" t="n">
        <v>3840</v>
      </c>
      <c r="P8" s="27"/>
      <c r="Q8" s="27" t="n">
        <f aca="false">SUM(M8:P8)</f>
        <v>51840</v>
      </c>
      <c r="R8" s="5"/>
    </row>
    <row r="9" customFormat="false" ht="15" hidden="false" customHeight="false" outlineLevel="0" collapsed="false">
      <c r="A9" s="5" t="s">
        <v>489</v>
      </c>
      <c r="B9" s="21" t="n">
        <v>57</v>
      </c>
      <c r="C9" s="5" t="s">
        <v>494</v>
      </c>
      <c r="D9" s="5" t="s">
        <v>491</v>
      </c>
      <c r="E9" s="25" t="n">
        <v>3900</v>
      </c>
      <c r="F9" s="27"/>
      <c r="G9" s="27"/>
      <c r="H9" s="5" t="s">
        <v>476</v>
      </c>
      <c r="I9" s="22" t="n">
        <v>1</v>
      </c>
      <c r="J9" s="5" t="s">
        <v>495</v>
      </c>
      <c r="K9" s="21" t="n">
        <v>10</v>
      </c>
      <c r="L9" s="29" t="n">
        <v>0.833333</v>
      </c>
      <c r="M9" s="25" t="n">
        <v>32500</v>
      </c>
      <c r="N9" s="25" t="n">
        <v>0</v>
      </c>
      <c r="O9" s="25" t="n">
        <v>2600</v>
      </c>
      <c r="P9" s="27"/>
      <c r="Q9" s="27" t="n">
        <f aca="false">SUM(M9:P9)</f>
        <v>35100</v>
      </c>
      <c r="R9" s="5"/>
    </row>
    <row r="10" customFormat="false" ht="15" hidden="false" customHeight="false" outlineLevel="0" collapsed="false">
      <c r="A10" s="5" t="s">
        <v>489</v>
      </c>
      <c r="B10" s="21" t="n">
        <v>56</v>
      </c>
      <c r="C10" s="5" t="s">
        <v>494</v>
      </c>
      <c r="D10" s="5" t="s">
        <v>496</v>
      </c>
      <c r="E10" s="25" t="n">
        <v>4312</v>
      </c>
      <c r="F10" s="27"/>
      <c r="G10" s="27"/>
      <c r="H10" s="5" t="s">
        <v>497</v>
      </c>
      <c r="I10" s="22" t="n">
        <v>0.95</v>
      </c>
      <c r="J10" s="5" t="s">
        <v>498</v>
      </c>
      <c r="K10" s="21" t="n">
        <v>12</v>
      </c>
      <c r="L10" s="29" t="n">
        <v>0.95</v>
      </c>
      <c r="M10" s="25" t="n">
        <v>49156.8</v>
      </c>
      <c r="N10" s="27"/>
      <c r="O10" s="25" t="n">
        <v>3932.54</v>
      </c>
      <c r="P10" s="27"/>
      <c r="Q10" s="27" t="n">
        <f aca="false">SUM(M10:P10)</f>
        <v>53089.34</v>
      </c>
      <c r="R10" s="5" t="s">
        <v>499</v>
      </c>
    </row>
    <row r="11" customFormat="false" ht="15" hidden="false" customHeight="false" outlineLevel="0" collapsed="false">
      <c r="A11" s="5" t="s">
        <v>489</v>
      </c>
      <c r="B11" s="21" t="n">
        <v>50</v>
      </c>
      <c r="C11" s="5" t="s">
        <v>500</v>
      </c>
      <c r="D11" s="5" t="s">
        <v>496</v>
      </c>
      <c r="E11" s="25" t="n">
        <v>3800</v>
      </c>
      <c r="F11" s="27"/>
      <c r="G11" s="27"/>
      <c r="H11" s="5" t="s">
        <v>476</v>
      </c>
      <c r="I11" s="22" t="n">
        <v>1</v>
      </c>
      <c r="J11" s="5" t="s">
        <v>501</v>
      </c>
      <c r="K11" s="21" t="n">
        <v>12</v>
      </c>
      <c r="L11" s="29" t="n">
        <v>1</v>
      </c>
      <c r="M11" s="25" t="n">
        <v>45600</v>
      </c>
      <c r="N11" s="27"/>
      <c r="O11" s="25" t="n">
        <v>3648</v>
      </c>
      <c r="P11" s="27"/>
      <c r="Q11" s="27" t="n">
        <f aca="false">SUM(M11:P11)</f>
        <v>49248</v>
      </c>
      <c r="R11" s="5" t="s">
        <v>502</v>
      </c>
    </row>
    <row r="12" customFormat="false" ht="15" hidden="false" customHeight="false" outlineLevel="0" collapsed="false">
      <c r="A12" s="5" t="s">
        <v>222</v>
      </c>
      <c r="B12" s="21" t="n">
        <v>6</v>
      </c>
      <c r="C12" s="5" t="s">
        <v>503</v>
      </c>
      <c r="D12" s="5" t="s">
        <v>504</v>
      </c>
      <c r="E12" s="25" t="n">
        <v>3293.75</v>
      </c>
      <c r="F12" s="25" t="n">
        <v>250</v>
      </c>
      <c r="G12" s="27"/>
      <c r="H12" s="5" t="s">
        <v>476</v>
      </c>
      <c r="I12" s="22" t="n">
        <v>1</v>
      </c>
      <c r="J12" s="5" t="s">
        <v>505</v>
      </c>
      <c r="K12" s="21" t="n">
        <v>12</v>
      </c>
      <c r="L12" s="29" t="n">
        <v>1</v>
      </c>
      <c r="M12" s="25" t="n">
        <v>39525</v>
      </c>
      <c r="N12" s="25" t="n">
        <v>0</v>
      </c>
      <c r="O12" s="25" t="n">
        <v>3162</v>
      </c>
      <c r="P12" s="25" t="n">
        <v>3000</v>
      </c>
      <c r="Q12" s="27" t="n">
        <f aca="false">SUM(M12:P12)</f>
        <v>45687</v>
      </c>
      <c r="R12" s="5"/>
    </row>
    <row r="13" customFormat="false" ht="15" hidden="false" customHeight="false" outlineLevel="0" collapsed="false">
      <c r="A13" s="5" t="s">
        <v>222</v>
      </c>
      <c r="B13" s="21" t="n">
        <v>60</v>
      </c>
      <c r="C13" s="5" t="s">
        <v>506</v>
      </c>
      <c r="D13" s="5" t="s">
        <v>507</v>
      </c>
      <c r="E13" s="25" t="n">
        <v>3850</v>
      </c>
      <c r="F13" s="27"/>
      <c r="G13" s="27"/>
      <c r="H13" s="5" t="s">
        <v>476</v>
      </c>
      <c r="I13" s="22" t="n">
        <v>1</v>
      </c>
      <c r="J13" s="5"/>
      <c r="K13" s="21" t="n">
        <v>12</v>
      </c>
      <c r="L13" s="29" t="n">
        <v>1</v>
      </c>
      <c r="M13" s="25" t="n">
        <v>46200</v>
      </c>
      <c r="N13" s="25" t="n">
        <v>0</v>
      </c>
      <c r="O13" s="25" t="n">
        <v>3696</v>
      </c>
      <c r="P13" s="27"/>
      <c r="Q13" s="27" t="n">
        <f aca="false">SUM(M13:P13)</f>
        <v>49896</v>
      </c>
      <c r="R13" s="5"/>
    </row>
    <row r="14" customFormat="false" ht="15" hidden="false" customHeight="false" outlineLevel="0" collapsed="false">
      <c r="A14" s="5" t="s">
        <v>508</v>
      </c>
      <c r="B14" s="21" t="n">
        <v>1</v>
      </c>
      <c r="C14" s="5" t="s">
        <v>509</v>
      </c>
      <c r="D14" s="5" t="s">
        <v>510</v>
      </c>
      <c r="E14" s="25" t="n">
        <v>5206.3</v>
      </c>
      <c r="F14" s="27"/>
      <c r="G14" s="27"/>
      <c r="H14" s="5" t="s">
        <v>511</v>
      </c>
      <c r="I14" s="22" t="n">
        <v>1</v>
      </c>
      <c r="J14" s="5" t="s">
        <v>512</v>
      </c>
      <c r="K14" s="21" t="n">
        <v>12</v>
      </c>
      <c r="L14" s="29" t="n">
        <v>1</v>
      </c>
      <c r="M14" s="25" t="n">
        <v>62475.6</v>
      </c>
      <c r="N14" s="25" t="n">
        <v>5206.3</v>
      </c>
      <c r="O14" s="25" t="n">
        <v>5206.3</v>
      </c>
      <c r="P14" s="27"/>
      <c r="Q14" s="27" t="n">
        <f aca="false">SUM(M14:P14)</f>
        <v>72888.2</v>
      </c>
      <c r="R14" s="5"/>
    </row>
    <row r="15" customFormat="false" ht="15" hidden="false" customHeight="false" outlineLevel="0" collapsed="false">
      <c r="A15" s="5" t="s">
        <v>508</v>
      </c>
      <c r="B15" s="21" t="n">
        <v>2</v>
      </c>
      <c r="C15" s="5" t="s">
        <v>513</v>
      </c>
      <c r="D15" s="5" t="s">
        <v>514</v>
      </c>
      <c r="E15" s="25" t="n">
        <v>2800</v>
      </c>
      <c r="F15" s="27"/>
      <c r="G15" s="25" t="n">
        <v>153</v>
      </c>
      <c r="H15" s="5" t="s">
        <v>476</v>
      </c>
      <c r="I15" s="22" t="n">
        <v>1</v>
      </c>
      <c r="J15" s="5" t="s">
        <v>512</v>
      </c>
      <c r="K15" s="21" t="n">
        <v>12</v>
      </c>
      <c r="L15" s="29" t="n">
        <v>1</v>
      </c>
      <c r="M15" s="25" t="n">
        <v>33600</v>
      </c>
      <c r="N15" s="25" t="n">
        <v>2800</v>
      </c>
      <c r="O15" s="25" t="n">
        <v>2800</v>
      </c>
      <c r="P15" s="25" t="n">
        <v>1836</v>
      </c>
      <c r="Q15" s="27" t="n">
        <f aca="false">SUM(M15:P15)</f>
        <v>41036</v>
      </c>
      <c r="R15" s="5"/>
    </row>
    <row r="16" customFormat="false" ht="15" hidden="false" customHeight="false" outlineLevel="0" collapsed="false">
      <c r="A16" s="5" t="s">
        <v>508</v>
      </c>
      <c r="B16" s="21" t="n">
        <v>3</v>
      </c>
      <c r="C16" s="5" t="s">
        <v>515</v>
      </c>
      <c r="D16" s="5" t="s">
        <v>514</v>
      </c>
      <c r="E16" s="25" t="n">
        <v>2000</v>
      </c>
      <c r="F16" s="27"/>
      <c r="G16" s="27"/>
      <c r="H16" s="5" t="s">
        <v>516</v>
      </c>
      <c r="I16" s="22" t="n">
        <v>1</v>
      </c>
      <c r="J16" s="5" t="s">
        <v>512</v>
      </c>
      <c r="K16" s="21" t="n">
        <v>11.5</v>
      </c>
      <c r="L16" s="29" t="n">
        <v>0.958333</v>
      </c>
      <c r="M16" s="25" t="n">
        <v>22041.67</v>
      </c>
      <c r="N16" s="25" t="n">
        <v>2000</v>
      </c>
      <c r="O16" s="25" t="n">
        <v>2000</v>
      </c>
      <c r="P16" s="27"/>
      <c r="Q16" s="27" t="n">
        <f aca="false">SUM(M16:P16)</f>
        <v>26041.67</v>
      </c>
      <c r="R16" s="5"/>
    </row>
    <row r="18" customFormat="false" ht="15" hidden="false" customHeight="false" outlineLevel="0" collapsed="false">
      <c r="A18" s="7" t="s">
        <v>517</v>
      </c>
      <c r="E18" s="26" t="n">
        <f aca="false">SUM(E5:E16)</f>
        <v>55980.38</v>
      </c>
      <c r="F18" s="28" t="s">
        <v>518</v>
      </c>
    </row>
    <row r="19" customFormat="false" ht="15" hidden="false" customHeight="false" outlineLevel="0" collapsed="false">
      <c r="A19" s="5" t="s">
        <v>519</v>
      </c>
      <c r="Q19" s="22" t="n">
        <v>0.175</v>
      </c>
    </row>
    <row r="20" customFormat="false" ht="15" hidden="false" customHeight="false" outlineLevel="0" collapsed="false">
      <c r="A20" s="5" t="s">
        <v>520</v>
      </c>
      <c r="Q20" s="22" t="n">
        <v>0.235</v>
      </c>
    </row>
    <row r="21" customFormat="false" ht="15" hidden="false" customHeight="false" outlineLevel="0" collapsed="false">
      <c r="A21" s="7" t="s">
        <v>521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26" t="n">
        <f aca="false">SUM(Q5:Q13)</f>
        <v>584611.4</v>
      </c>
    </row>
    <row r="22" customFormat="false" ht="15" hidden="false" customHeight="false" outlineLevel="0" collapsed="false">
      <c r="A22" s="5" t="s">
        <v>522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27" t="n">
        <f aca="false">ROUND(Q21*Q19,0)</f>
        <v>102307</v>
      </c>
    </row>
    <row r="23" customFormat="false" ht="15" hidden="false" customHeight="false" outlineLevel="0" collapsed="false">
      <c r="A23" s="7" t="s">
        <v>523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26" t="n">
        <f aca="false">ROUND(SUM(Q14:Q16),0)</f>
        <v>139966</v>
      </c>
    </row>
    <row r="24" customFormat="false" ht="15" hidden="false" customHeight="false" outlineLevel="0" collapsed="false">
      <c r="A24" s="5" t="s">
        <v>524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27" t="n">
        <f aca="false">ROUND(Q23*Q20,0)</f>
        <v>32892</v>
      </c>
    </row>
    <row r="25" customFormat="false" ht="15" hidden="false" customHeight="false" outlineLevel="0" collapsed="false">
      <c r="A25" s="7" t="s">
        <v>525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26" t="n">
        <f aca="false">ROUND(Q21+Q22+Q23+Q24,0)</f>
        <v>859776</v>
      </c>
    </row>
    <row r="26" customFormat="false" ht="15" hidden="false" customHeight="false" outlineLevel="0" collapsed="false">
      <c r="A26" s="5" t="s">
        <v>526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27" t="n">
        <v>1182329</v>
      </c>
    </row>
    <row r="27" customFormat="false" ht="15" hidden="false" customHeight="false" outlineLevel="0" collapsed="false">
      <c r="A27" s="5" t="s">
        <v>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30" t="n">
        <f aca="false">SUM(L5:L16)</f>
        <v>11.341666</v>
      </c>
    </row>
    <row r="28" customFormat="false" ht="15" hidden="false" customHeight="false" outlineLevel="0" collapsed="false">
      <c r="A28" s="5" t="s">
        <v>527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31" t="n">
        <v>15</v>
      </c>
    </row>
    <row r="30" customFormat="false" ht="15" hidden="false" customHeight="false" outlineLevel="0" collapsed="false">
      <c r="A30" s="2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529</v>
      </c>
    </row>
    <row r="2" customFormat="false" ht="15" hidden="false" customHeight="false" outlineLevel="0" collapsed="false">
      <c r="A2" s="2" t="s">
        <v>530</v>
      </c>
    </row>
    <row r="4" customFormat="false" ht="31.5" hidden="false" customHeight="true" outlineLevel="0" collapsed="false">
      <c r="A4" s="4" t="s">
        <v>531</v>
      </c>
      <c r="B4" s="4" t="s">
        <v>36</v>
      </c>
      <c r="C4" s="4" t="s">
        <v>37</v>
      </c>
      <c r="D4" s="4" t="s">
        <v>38</v>
      </c>
      <c r="E4" s="4" t="s">
        <v>532</v>
      </c>
      <c r="F4" s="4" t="s">
        <v>533</v>
      </c>
    </row>
    <row r="5" customFormat="false" ht="15" hidden="false" customHeight="false" outlineLevel="0" collapsed="false">
      <c r="A5" s="32" t="s">
        <v>534</v>
      </c>
    </row>
    <row r="6" customFormat="false" ht="15" hidden="false" customHeight="false" outlineLevel="0" collapsed="false">
      <c r="A6" s="5" t="s">
        <v>535</v>
      </c>
      <c r="B6" s="33" t="n">
        <v>487755</v>
      </c>
      <c r="C6" s="33" t="n">
        <v>75000</v>
      </c>
      <c r="D6" s="18" t="n">
        <f aca="false">IF(B6=0,0,C6/B6)</f>
        <v>0.15376572254513</v>
      </c>
      <c r="E6" s="5" t="s">
        <v>536</v>
      </c>
      <c r="F6" s="5" t="s">
        <v>537</v>
      </c>
    </row>
    <row r="7" customFormat="false" ht="15" hidden="false" customHeight="false" outlineLevel="0" collapsed="false">
      <c r="A7" s="5" t="s">
        <v>538</v>
      </c>
      <c r="B7" s="33" t="n">
        <v>5656848</v>
      </c>
      <c r="C7" s="33" t="n">
        <v>848527</v>
      </c>
      <c r="D7" s="18" t="n">
        <f aca="false">IF(B7=0,0,C7/B7)</f>
        <v>0.149999964644622</v>
      </c>
      <c r="E7" s="5" t="s">
        <v>536</v>
      </c>
      <c r="F7" s="5" t="s">
        <v>539</v>
      </c>
    </row>
    <row r="8" customFormat="false" ht="15" hidden="false" customHeight="false" outlineLevel="0" collapsed="false">
      <c r="A8" s="5" t="s">
        <v>540</v>
      </c>
      <c r="B8" s="33" t="n">
        <v>396000</v>
      </c>
      <c r="C8" s="33" t="n">
        <v>80000</v>
      </c>
      <c r="D8" s="18" t="n">
        <f aca="false">IF(B8=0,0,C8/B8)</f>
        <v>0.202020202020202</v>
      </c>
      <c r="E8" s="5" t="s">
        <v>541</v>
      </c>
      <c r="F8" s="5" t="s">
        <v>542</v>
      </c>
    </row>
    <row r="9" customFormat="false" ht="15" hidden="false" customHeight="false" outlineLevel="0" collapsed="false">
      <c r="A9" s="5" t="s">
        <v>543</v>
      </c>
      <c r="B9" s="33" t="n">
        <v>1121737</v>
      </c>
      <c r="C9" s="33" t="n">
        <v>307379</v>
      </c>
      <c r="D9" s="18" t="n">
        <f aca="false">IF(B9=0,0,C9/B9)</f>
        <v>0.274020559186333</v>
      </c>
      <c r="E9" s="5" t="s">
        <v>544</v>
      </c>
      <c r="F9" s="5" t="s">
        <v>545</v>
      </c>
    </row>
    <row r="10" customFormat="false" ht="15" hidden="false" customHeight="false" outlineLevel="0" collapsed="false">
      <c r="A10" s="5" t="s">
        <v>546</v>
      </c>
      <c r="B10" s="33" t="n">
        <v>5000000</v>
      </c>
      <c r="C10" s="33" t="n">
        <v>750000</v>
      </c>
      <c r="D10" s="18" t="n">
        <f aca="false">IF(B10=0,0,C10/B10)</f>
        <v>0.15</v>
      </c>
      <c r="E10" s="5" t="s">
        <v>536</v>
      </c>
      <c r="F10" s="5" t="s">
        <v>547</v>
      </c>
    </row>
    <row r="11" customFormat="false" ht="15" hidden="false" customHeight="false" outlineLevel="0" collapsed="false">
      <c r="A11" s="5" t="s">
        <v>548</v>
      </c>
      <c r="B11" s="33" t="n">
        <v>1920000</v>
      </c>
      <c r="C11" s="33" t="n">
        <v>380000</v>
      </c>
      <c r="D11" s="18" t="n">
        <f aca="false">IF(B11=0,0,C11/B11)</f>
        <v>0.197916666666667</v>
      </c>
      <c r="E11" s="5" t="s">
        <v>544</v>
      </c>
      <c r="F11" s="5" t="s">
        <v>549</v>
      </c>
    </row>
    <row r="12" customFormat="false" ht="15" hidden="false" customHeight="false" outlineLevel="0" collapsed="false">
      <c r="A12" s="5" t="s">
        <v>550</v>
      </c>
      <c r="B12" s="33" t="n">
        <v>350000</v>
      </c>
      <c r="C12" s="33" t="n">
        <v>70000</v>
      </c>
      <c r="D12" s="18" t="n">
        <f aca="false">IF(B12=0,0,C12/B12)</f>
        <v>0.2</v>
      </c>
      <c r="E12" s="5" t="s">
        <v>536</v>
      </c>
      <c r="F12" s="5" t="s">
        <v>551</v>
      </c>
    </row>
    <row r="13" customFormat="false" ht="15" hidden="false" customHeight="false" outlineLevel="0" collapsed="false">
      <c r="A13" s="7" t="s">
        <v>552</v>
      </c>
      <c r="B13" s="34" t="n">
        <f aca="false">SUM(B6:B12)</f>
        <v>14932340</v>
      </c>
      <c r="C13" s="34" t="n">
        <f aca="false">SUM(C6:C12)</f>
        <v>2510906</v>
      </c>
      <c r="D13" s="35" t="n">
        <f aca="false">IF(B13=0,0,C13/B13)</f>
        <v>0.168152211910524</v>
      </c>
      <c r="E13" s="9"/>
      <c r="F13" s="36" t="s">
        <v>553</v>
      </c>
    </row>
    <row r="15" customFormat="false" ht="15" hidden="false" customHeight="false" outlineLevel="0" collapsed="false">
      <c r="A15" s="32" t="s">
        <v>554</v>
      </c>
    </row>
    <row r="16" customFormat="false" ht="15" hidden="false" customHeight="false" outlineLevel="0" collapsed="false">
      <c r="A16" s="5" t="s">
        <v>555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5" t="s">
        <v>556</v>
      </c>
      <c r="B17" s="33" t="n">
        <v>236000</v>
      </c>
      <c r="C17" s="33" t="n">
        <v>50000</v>
      </c>
      <c r="D17" s="18" t="n">
        <f aca="false">IF(B17=0,0,C17/B17)</f>
        <v>0.211864406779661</v>
      </c>
      <c r="E17" s="5" t="s">
        <v>544</v>
      </c>
      <c r="F17" s="5" t="s">
        <v>557</v>
      </c>
    </row>
    <row r="18" customFormat="false" ht="15" hidden="false" customHeight="false" outlineLevel="0" collapsed="false">
      <c r="A18" s="7" t="s">
        <v>558</v>
      </c>
      <c r="B18" s="34" t="n">
        <f aca="false">SUM(B16:B17)</f>
        <v>236000</v>
      </c>
      <c r="C18" s="34" t="n">
        <f aca="false">SUM(C16:C17)</f>
        <v>50000</v>
      </c>
      <c r="D18" s="35" t="n">
        <f aca="false">IF(B18=0,0,C18/B18)</f>
        <v>0.211864406779661</v>
      </c>
      <c r="E18" s="9"/>
      <c r="F18" s="9"/>
    </row>
    <row r="20" customFormat="false" ht="15" hidden="false" customHeight="false" outlineLevel="0" collapsed="false">
      <c r="A20" s="32" t="s">
        <v>559</v>
      </c>
    </row>
    <row r="21" customFormat="false" ht="15" hidden="false" customHeight="false" outlineLevel="0" collapsed="false">
      <c r="A21" s="5" t="s">
        <v>560</v>
      </c>
      <c r="B21" s="33" t="n">
        <v>1000000</v>
      </c>
    </row>
    <row r="22" customFormat="false" ht="15" hidden="false" customHeight="false" outlineLevel="0" collapsed="false">
      <c r="A22" s="5" t="s">
        <v>561</v>
      </c>
      <c r="B22" s="37" t="n">
        <f aca="false">B6/B13</f>
        <v>0.0326643379403362</v>
      </c>
    </row>
    <row r="23" customFormat="false" ht="15" hidden="false" customHeight="false" outlineLevel="0" collapsed="false">
      <c r="A23" s="5" t="s">
        <v>562</v>
      </c>
      <c r="B23" s="27" t="n">
        <f aca="false">B22*B21</f>
        <v>32664.3379403362</v>
      </c>
    </row>
    <row r="24" customFormat="false" ht="15" hidden="false" customHeight="false" outlineLevel="0" collapsed="false">
      <c r="A24" s="2" t="s">
        <v>563</v>
      </c>
    </row>
    <row r="26" customFormat="false" ht="15" hidden="false" customHeight="false" outlineLevel="0" collapsed="false">
      <c r="A26" s="32" t="s">
        <v>564</v>
      </c>
    </row>
    <row r="27" customFormat="false" ht="15" hidden="false" customHeight="false" outlineLevel="0" collapsed="false">
      <c r="A27" s="17" t="s">
        <v>565</v>
      </c>
      <c r="B27" s="17" t="s">
        <v>566</v>
      </c>
      <c r="C27" s="17" t="s">
        <v>567</v>
      </c>
      <c r="D27" s="17" t="s">
        <v>568</v>
      </c>
      <c r="E27" s="17"/>
      <c r="F27" s="17" t="s">
        <v>569</v>
      </c>
    </row>
    <row r="28" customFormat="false" ht="15" hidden="false" customHeight="false" outlineLevel="0" collapsed="false">
      <c r="A28" s="5" t="s">
        <v>570</v>
      </c>
      <c r="B28" s="5" t="s">
        <v>571</v>
      </c>
      <c r="C28" s="5" t="s">
        <v>572</v>
      </c>
      <c r="D28" s="5" t="s">
        <v>573</v>
      </c>
      <c r="E28" s="5"/>
      <c r="F28" s="5"/>
    </row>
    <row r="29" customFormat="false" ht="15" hidden="false" customHeight="false" outlineLevel="0" collapsed="false">
      <c r="A29" s="5" t="s">
        <v>574</v>
      </c>
      <c r="B29" s="5" t="s">
        <v>575</v>
      </c>
      <c r="C29" s="5" t="s">
        <v>576</v>
      </c>
      <c r="D29" s="5" t="s">
        <v>577</v>
      </c>
      <c r="E29" s="5"/>
      <c r="F29" s="5"/>
    </row>
    <row r="30" customFormat="false" ht="15" hidden="false" customHeight="false" outlineLevel="0" collapsed="false">
      <c r="A30" s="5" t="s">
        <v>578</v>
      </c>
      <c r="B30" s="5" t="s">
        <v>579</v>
      </c>
      <c r="C30" s="5" t="s">
        <v>580</v>
      </c>
      <c r="D30" s="5" t="s">
        <v>581</v>
      </c>
      <c r="E30" s="5"/>
      <c r="F30" s="5"/>
    </row>
    <row r="31" customFormat="false" ht="15" hidden="false" customHeight="false" outlineLevel="0" collapsed="false">
      <c r="A31" s="5" t="s">
        <v>582</v>
      </c>
      <c r="B31" s="5" t="s">
        <v>583</v>
      </c>
      <c r="C31" s="5" t="s">
        <v>584</v>
      </c>
      <c r="D31" s="5"/>
      <c r="E31" s="5"/>
      <c r="F31" s="5"/>
    </row>
    <row r="32" customFormat="false" ht="15" hidden="false" customHeight="false" outlineLevel="0" collapsed="false">
      <c r="A32" s="5" t="s">
        <v>585</v>
      </c>
      <c r="B32" s="5" t="s">
        <v>586</v>
      </c>
      <c r="C32" s="5"/>
      <c r="D32" s="5"/>
      <c r="E32" s="5"/>
      <c r="F32" s="5"/>
    </row>
    <row r="33" customFormat="false" ht="15" hidden="false" customHeight="false" outlineLevel="0" collapsed="false">
      <c r="A33" s="5" t="s">
        <v>587</v>
      </c>
      <c r="B33" s="5" t="s">
        <v>588</v>
      </c>
      <c r="C33" s="5" t="s">
        <v>589</v>
      </c>
      <c r="D33" s="5" t="s">
        <v>590</v>
      </c>
      <c r="E33" s="5"/>
      <c r="F33" s="5"/>
    </row>
    <row r="34" customFormat="false" ht="15" hidden="false" customHeight="false" outlineLevel="0" collapsed="false">
      <c r="A34" s="5" t="s">
        <v>591</v>
      </c>
      <c r="B34" s="5" t="s">
        <v>592</v>
      </c>
      <c r="C34" s="5"/>
      <c r="D34" s="5" t="s">
        <v>593</v>
      </c>
      <c r="E34" s="5"/>
      <c r="F34" s="5"/>
    </row>
    <row r="35" customFormat="false" ht="15" hidden="false" customHeight="false" outlineLevel="0" collapsed="false">
      <c r="A35" s="5" t="s">
        <v>594</v>
      </c>
      <c r="B35" s="5" t="s">
        <v>595</v>
      </c>
      <c r="C35" s="5" t="s">
        <v>576</v>
      </c>
      <c r="D35" s="5" t="s">
        <v>596</v>
      </c>
      <c r="E35" s="5"/>
      <c r="F35" s="5"/>
    </row>
    <row r="36" customFormat="false" ht="15" hidden="false" customHeight="false" outlineLevel="0" collapsed="false">
      <c r="A36" s="5" t="s">
        <v>597</v>
      </c>
      <c r="B36" s="5" t="s">
        <v>598</v>
      </c>
      <c r="C36" s="5" t="s">
        <v>576</v>
      </c>
      <c r="D36" s="5" t="s">
        <v>599</v>
      </c>
      <c r="E36" s="5"/>
      <c r="F36" s="5"/>
    </row>
    <row r="37" customFormat="false" ht="15" hidden="false" customHeight="false" outlineLevel="0" collapsed="false">
      <c r="A37" s="5" t="s">
        <v>600</v>
      </c>
      <c r="B37" s="5" t="s">
        <v>601</v>
      </c>
      <c r="C37" s="5" t="s">
        <v>576</v>
      </c>
      <c r="D37" s="5" t="s">
        <v>602</v>
      </c>
      <c r="E37" s="5"/>
      <c r="F37" s="5" t="s">
        <v>603</v>
      </c>
    </row>
    <row r="38" customFormat="false" ht="15" hidden="false" customHeight="false" outlineLevel="0" collapsed="false">
      <c r="A38" s="5" t="s">
        <v>604</v>
      </c>
      <c r="B38" s="5" t="s">
        <v>605</v>
      </c>
      <c r="C38" s="5" t="s">
        <v>576</v>
      </c>
      <c r="D38" s="5" t="s">
        <v>606</v>
      </c>
      <c r="E38" s="5"/>
      <c r="F38" s="5"/>
    </row>
    <row r="39" customFormat="false" ht="15" hidden="false" customHeight="false" outlineLevel="0" collapsed="false">
      <c r="A39" s="5" t="s">
        <v>607</v>
      </c>
      <c r="B39" s="5" t="s">
        <v>608</v>
      </c>
      <c r="C39" s="5" t="s">
        <v>609</v>
      </c>
      <c r="D39" s="5" t="s">
        <v>610</v>
      </c>
      <c r="E39" s="5"/>
      <c r="F39" s="5"/>
    </row>
    <row r="40" customFormat="false" ht="15" hidden="false" customHeight="false" outlineLevel="0" collapsed="false">
      <c r="A40" s="5" t="s">
        <v>611</v>
      </c>
      <c r="B40" s="5" t="s">
        <v>612</v>
      </c>
      <c r="C40" s="5" t="s">
        <v>613</v>
      </c>
      <c r="D40" s="5" t="s">
        <v>614</v>
      </c>
      <c r="E40" s="5"/>
      <c r="F4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2026-10-15T17:52:32Z</dcterms:created>
  <dc:creator>openpyxl</dc:creator>
  <dc:description/>
  <dc:language>en-US</dc:language>
  <cp:lastModifiedBy/>
  <dcterms:modified xsi:type="dcterms:W3CDTF">2026-10-15T17:52:32Z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